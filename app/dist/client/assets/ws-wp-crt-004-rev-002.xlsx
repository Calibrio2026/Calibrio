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abor\Dropbox\Calibration Certs\Cert Type\"/>
    </mc:Choice>
  </mc:AlternateContent>
  <xr:revisionPtr revIDLastSave="0" documentId="13_ncr:1_{BCE8303E-44ED-401F-84A4-B720EC0862A3}" xr6:coauthVersionLast="47" xr6:coauthVersionMax="47" xr10:uidLastSave="{00000000-0000-0000-0000-000000000000}"/>
  <bookViews>
    <workbookView xWindow="-120" yWindow="-120" windowWidth="29040" windowHeight="15720" xr2:uid="{C25A2BBE-0FFA-42BB-9FBA-BCDF5D0CC569}"/>
  </bookViews>
  <sheets>
    <sheet name="Cert" sheetId="1" r:id="rId1"/>
    <sheet name="DATA - CUSTOMER" sheetId="3" r:id="rId2"/>
    <sheet name="Data - Standards" sheetId="2" r:id="rId3"/>
  </sheets>
  <definedNames>
    <definedName name="_xlnm.Print_Area" localSheetId="0">Cert!$A$1:$I$42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2" l="1"/>
  <c r="H11" i="2" l="1"/>
  <c r="I11" i="2" s="1"/>
  <c r="B18" i="1"/>
  <c r="B17" i="1"/>
  <c r="B16" i="1"/>
  <c r="I9" i="2"/>
  <c r="H10" i="2"/>
  <c r="I10" i="2" s="1"/>
  <c r="I33" i="1"/>
  <c r="I8" i="2" l="1"/>
  <c r="H2" i="2" l="1"/>
  <c r="H3" i="2"/>
  <c r="H7" i="2"/>
  <c r="I7" i="2" s="1"/>
  <c r="H5" i="2" l="1"/>
  <c r="D41" i="1"/>
  <c r="B20" i="1"/>
  <c r="B19" i="1" s="1"/>
  <c r="A33" i="1"/>
  <c r="D20" i="1" l="1"/>
  <c r="D16" i="1"/>
  <c r="D33" i="1"/>
  <c r="B27" i="1" l="1"/>
  <c r="C5" i="1"/>
  <c r="G33" i="1"/>
  <c r="E33" i="1"/>
  <c r="B33" i="1"/>
  <c r="B23" i="1" l="1"/>
  <c r="B24" i="1"/>
  <c r="B25" i="1"/>
  <c r="B26" i="1"/>
  <c r="G16" i="1"/>
  <c r="I3" i="2" l="1"/>
  <c r="I5" i="2"/>
  <c r="H6" i="2"/>
  <c r="I6" i="2" s="1"/>
  <c r="H4" i="2"/>
  <c r="I4" i="2" s="1"/>
  <c r="I2" i="2"/>
  <c r="C8" i="1"/>
  <c r="C7" i="1"/>
  <c r="C6" i="1"/>
  <c r="I41" i="1"/>
  <c r="F16" i="1" l="1"/>
  <c r="D18" i="1" l="1"/>
  <c r="G23" i="1" l="1"/>
  <c r="C23" i="1"/>
  <c r="F23" i="1"/>
  <c r="G20" i="1"/>
  <c r="F20" i="1"/>
  <c r="G27" i="1"/>
  <c r="C27" i="1"/>
  <c r="G19" i="1" l="1"/>
  <c r="D19" i="1"/>
  <c r="D24" i="1" s="1"/>
  <c r="D23" i="1"/>
  <c r="C24" i="1" l="1"/>
  <c r="D27" i="1"/>
  <c r="F19" i="1"/>
  <c r="G28" i="1"/>
  <c r="F28" i="1"/>
  <c r="H20" i="1"/>
  <c r="H23" i="1" s="1"/>
  <c r="H15" i="1"/>
  <c r="H19" i="1" l="1"/>
  <c r="H24" i="1" s="1"/>
  <c r="G24" i="1"/>
  <c r="F27" i="1"/>
  <c r="H27" i="1" s="1"/>
  <c r="F26" i="1"/>
  <c r="F15" i="1"/>
  <c r="F17" i="1"/>
  <c r="F25" i="1" s="1"/>
  <c r="F18" i="1"/>
  <c r="F24" i="1" s="1"/>
  <c r="H16" i="1"/>
  <c r="G15" i="1" l="1"/>
  <c r="C25" i="1"/>
  <c r="G25" i="1" s="1"/>
  <c r="G18" i="1"/>
  <c r="C26" i="1"/>
  <c r="G26" i="1" s="1"/>
  <c r="D25" i="1"/>
  <c r="G17" i="1"/>
  <c r="D17" i="1"/>
  <c r="H17" i="1" s="1"/>
  <c r="D26" i="1" s="1"/>
  <c r="H26" i="1" s="1"/>
  <c r="H18" i="1" l="1"/>
  <c r="H25" i="1" s="1"/>
</calcChain>
</file>

<file path=xl/sharedStrings.xml><?xml version="1.0" encoding="utf-8"?>
<sst xmlns="http://schemas.openxmlformats.org/spreadsheetml/2006/main" count="791" uniqueCount="502">
  <si>
    <t>As Left (Increasing)</t>
  </si>
  <si>
    <t>As Found (Increasing)</t>
  </si>
  <si>
    <t>As Left (decreasing)</t>
  </si>
  <si>
    <t>Customer:</t>
  </si>
  <si>
    <t>Contact:</t>
  </si>
  <si>
    <t>Address:</t>
  </si>
  <si>
    <t>Phone:</t>
  </si>
  <si>
    <t>PO No.:</t>
  </si>
  <si>
    <t>Calibration Date:</t>
  </si>
  <si>
    <t xml:space="preserve">Due Date: </t>
  </si>
  <si>
    <t xml:space="preserve">New/ Recal: </t>
  </si>
  <si>
    <t>Calibration Standard</t>
  </si>
  <si>
    <t>Item:</t>
  </si>
  <si>
    <t>Model</t>
  </si>
  <si>
    <t>S/N</t>
  </si>
  <si>
    <t>Brand:</t>
  </si>
  <si>
    <t>Due Date</t>
  </si>
  <si>
    <t>Manuf.</t>
  </si>
  <si>
    <t>Model:</t>
  </si>
  <si>
    <t xml:space="preserve">Certification Control: no. </t>
  </si>
  <si>
    <t>Frequency | Interval:</t>
  </si>
  <si>
    <t>Temp (F) &amp; Humidity:</t>
  </si>
  <si>
    <r>
      <t>Procedure |</t>
    </r>
    <r>
      <rPr>
        <b/>
        <sz val="10"/>
        <color theme="1"/>
        <rFont val="Calibri"/>
        <family val="2"/>
        <scheme val="minor"/>
      </rPr>
      <t xml:space="preserve"> Accuracy</t>
    </r>
    <r>
      <rPr>
        <b/>
        <sz val="11"/>
        <color theme="1"/>
        <rFont val="Calibri"/>
        <family val="2"/>
        <scheme val="minor"/>
      </rPr>
      <t>:</t>
    </r>
  </si>
  <si>
    <t>Calibration Certificate</t>
  </si>
  <si>
    <t>Traceability</t>
  </si>
  <si>
    <t>ADDITEL</t>
  </si>
  <si>
    <t>GAUGE</t>
  </si>
  <si>
    <t>Precent Deviation</t>
  </si>
  <si>
    <t xml:space="preserve">The calibrations within the certificate/report are traceable through NIST or another National Metrology Institute to the International System of Units (SI). The results only relate to the items tested, calibrated, or sampled. The reported expanded uncertainty of measurement is stated as the standard uncertainty of measurement multiplied by the coverage factor k=2, which for a normal distribution corresponds to a coverage probability of approximately 95%. Simple acceptance decision rule were uncertainty is not factored  into the tolerance for conformity.
</t>
  </si>
  <si>
    <t xml:space="preserve"> Traceability</t>
  </si>
  <si>
    <t>bedenburg</t>
  </si>
  <si>
    <t>CPB5000</t>
  </si>
  <si>
    <t>30644R</t>
  </si>
  <si>
    <t>&lt;Choose Company&gt;</t>
  </si>
  <si>
    <t>Company</t>
  </si>
  <si>
    <t>Contact</t>
  </si>
  <si>
    <t>Addr1</t>
  </si>
  <si>
    <t>Addr2</t>
  </si>
  <si>
    <t>City, State,Zip</t>
  </si>
  <si>
    <t>Zip</t>
  </si>
  <si>
    <t>Country</t>
  </si>
  <si>
    <t>Phone</t>
  </si>
  <si>
    <t>Fax</t>
  </si>
  <si>
    <t>blah</t>
  </si>
  <si>
    <t>Old</t>
  </si>
  <si>
    <t>3C METAL</t>
  </si>
  <si>
    <t>3C Metal</t>
  </si>
  <si>
    <t>Houston, TX 77056</t>
  </si>
  <si>
    <t>TX</t>
  </si>
  <si>
    <t>USA</t>
  </si>
  <si>
    <t>(713) 808-9651</t>
  </si>
  <si>
    <t>ACFM</t>
  </si>
  <si>
    <t>Howden</t>
  </si>
  <si>
    <t>Roosevelt Bruins</t>
  </si>
  <si>
    <t>16250 Tomball Pkwy</t>
  </si>
  <si>
    <t>Houston, TX 77086</t>
  </si>
  <si>
    <t>(936) 539-5252</t>
  </si>
  <si>
    <t>(936) 539-5251</t>
  </si>
  <si>
    <t>USA De Busk</t>
  </si>
  <si>
    <t>Marc Fernandez</t>
  </si>
  <si>
    <t>1101 w 8th st.</t>
  </si>
  <si>
    <t>Deer Park, TX 77536</t>
  </si>
  <si>
    <t>Texas</t>
  </si>
  <si>
    <t>281-979-5269</t>
  </si>
  <si>
    <t>Fastenal</t>
  </si>
  <si>
    <t>Jacob Tackett</t>
  </si>
  <si>
    <t>201 Bryan St.</t>
  </si>
  <si>
    <t>Dayton, TX 77535</t>
  </si>
  <si>
    <t>(936) 258-2671</t>
  </si>
  <si>
    <t>Fastenal (#2)</t>
  </si>
  <si>
    <t>Chris Conrad</t>
  </si>
  <si>
    <t>501B East Heil Ave.</t>
  </si>
  <si>
    <t>El Centro, CA 92243</t>
  </si>
  <si>
    <t>CA</t>
  </si>
  <si>
    <t>(760)-352-2313</t>
  </si>
  <si>
    <t>GRIZZLY</t>
  </si>
  <si>
    <t>Grizzly</t>
  </si>
  <si>
    <t>Kirk French</t>
  </si>
  <si>
    <t>41303 park 290 drive</t>
  </si>
  <si>
    <t>Waller, TX 77484</t>
  </si>
  <si>
    <t>710-926-5544</t>
  </si>
  <si>
    <t>HOUSTON PRECISION</t>
  </si>
  <si>
    <t>ANDREA DeLEON</t>
  </si>
  <si>
    <t>6633 POLK STREET</t>
  </si>
  <si>
    <t>Houston, TX 77011</t>
  </si>
  <si>
    <t>HP Piping</t>
  </si>
  <si>
    <t>Thomas Mitchmore</t>
  </si>
  <si>
    <t>4311 holmes Rd</t>
  </si>
  <si>
    <t>Houston, TX 77051</t>
  </si>
  <si>
    <t>832-582-8898</t>
  </si>
  <si>
    <t>K2</t>
  </si>
  <si>
    <t>Applus K2</t>
  </si>
  <si>
    <t>James Rushforth</t>
  </si>
  <si>
    <t>11801 West Sam Houston Parkway</t>
  </si>
  <si>
    <t>Houston, TX 77031</t>
  </si>
  <si>
    <t>(832) 454-1555</t>
  </si>
  <si>
    <t>MSI</t>
  </si>
  <si>
    <t>Measurement Systems and Services, Inc.</t>
  </si>
  <si>
    <t>David Klasen</t>
  </si>
  <si>
    <t>5010 Steffani Lane</t>
  </si>
  <si>
    <t>Houston, TX 77041</t>
  </si>
  <si>
    <t>Nabors</t>
  </si>
  <si>
    <t>Nabors Drilling  Solutions</t>
  </si>
  <si>
    <t xml:space="preserve">Joey Peregne </t>
  </si>
  <si>
    <t>515 W. Greens Road Suite 110</t>
  </si>
  <si>
    <t>Houston, TX 77067</t>
  </si>
  <si>
    <t>(281) 874-0035</t>
  </si>
  <si>
    <t>Nextera Energy</t>
  </si>
  <si>
    <t>Michael Medsker</t>
  </si>
  <si>
    <t>601 Travis St</t>
  </si>
  <si>
    <t>Houston, 77002</t>
  </si>
  <si>
    <t>760-921-1409</t>
  </si>
  <si>
    <t>NOV</t>
  </si>
  <si>
    <t>Metrology Lab WLY/NOV</t>
  </si>
  <si>
    <t>12950 West Little York Rd</t>
  </si>
  <si>
    <t>713-501-7784</t>
  </si>
  <si>
    <t>NOV 529</t>
  </si>
  <si>
    <t>NOV/ Metrology Lab</t>
  </si>
  <si>
    <t>Eric Aguirre</t>
  </si>
  <si>
    <t>11919 FM 529 RD</t>
  </si>
  <si>
    <t>832-424-7774</t>
  </si>
  <si>
    <t>NOV CALEXICO</t>
  </si>
  <si>
    <t>ANDREA LEDESMA</t>
  </si>
  <si>
    <t>2270 PORTICO BLVD</t>
  </si>
  <si>
    <t>Calexico, CA 92231</t>
  </si>
  <si>
    <t>OGME</t>
  </si>
  <si>
    <t>ROBERT AITKEN</t>
  </si>
  <si>
    <t>5227 DOW ROAD</t>
  </si>
  <si>
    <t>Houston, TX 77040</t>
  </si>
  <si>
    <t>713-686-5783</t>
  </si>
  <si>
    <t>OSIES</t>
  </si>
  <si>
    <t>OSIES INC.</t>
  </si>
  <si>
    <t>Jennifer Alvarez</t>
  </si>
  <si>
    <t>12734 Tanner Rd</t>
  </si>
  <si>
    <t>(713) 849-5131</t>
  </si>
  <si>
    <t>(713) 849-5148</t>
  </si>
  <si>
    <t>SIEMENS ENERGY</t>
  </si>
  <si>
    <t>405 DEERWOOD GLEN</t>
  </si>
  <si>
    <t>281-946-4000</t>
  </si>
  <si>
    <t>Specialloy Instrumentation</t>
  </si>
  <si>
    <t>Soecialloy Instrumentation</t>
  </si>
  <si>
    <t>Chris Sneed</t>
  </si>
  <si>
    <t>11702 Brittmoore Park Dr.</t>
  </si>
  <si>
    <t>713-827-7776</t>
  </si>
  <si>
    <t>STATS</t>
  </si>
  <si>
    <t>Stats Internatinal Inc</t>
  </si>
  <si>
    <t>(713) 896-3150</t>
  </si>
  <si>
    <t>Thrustmaster of Texas</t>
  </si>
  <si>
    <t>Maria Lopez</t>
  </si>
  <si>
    <t xml:space="preserve">6900 Thrustmaster Drive </t>
  </si>
  <si>
    <t>713-937-6295</t>
  </si>
  <si>
    <t>Tri-Torc</t>
  </si>
  <si>
    <t>Tri-Torc INC.</t>
  </si>
  <si>
    <t>Mr. Sandeep Shukla</t>
  </si>
  <si>
    <t>2006 Wichita St.</t>
  </si>
  <si>
    <t>Pasadena, TX 77502</t>
  </si>
  <si>
    <t>832-831-4342</t>
  </si>
  <si>
    <t>VOGT</t>
  </si>
  <si>
    <t>VOGT Valves</t>
  </si>
  <si>
    <t>David Bain</t>
  </si>
  <si>
    <t>13800 North Promenade</t>
  </si>
  <si>
    <t>Stafford, TX 77477</t>
  </si>
  <si>
    <t>Tx</t>
  </si>
  <si>
    <t>281-313-8080</t>
  </si>
  <si>
    <t>Winshaw</t>
  </si>
  <si>
    <t>Winshaw Hydraulic Tools</t>
  </si>
  <si>
    <t xml:space="preserve">David Shaw </t>
  </si>
  <si>
    <t>Houston, TX 77043</t>
  </si>
  <si>
    <t>WOM</t>
  </si>
  <si>
    <t>Worldwide Oilfield Machine, inc</t>
  </si>
  <si>
    <t>Jorge A. B arron</t>
  </si>
  <si>
    <t xml:space="preserve">11400 Tanner Rd, </t>
  </si>
  <si>
    <t>SIEMENS WTC</t>
  </si>
  <si>
    <t>1090 E. 37th St. N.</t>
  </si>
  <si>
    <t>Wichita, KS 67219</t>
  </si>
  <si>
    <t xml:space="preserve">316-315-4534 </t>
  </si>
  <si>
    <t>Melaney Glendening</t>
  </si>
  <si>
    <t>WINSHAW</t>
  </si>
  <si>
    <t>OES Oilfield Services</t>
  </si>
  <si>
    <t>8615 Jackrabbit Rd</t>
  </si>
  <si>
    <t>Houston, TX 77095</t>
  </si>
  <si>
    <t>(713) 960-1339</t>
  </si>
  <si>
    <t>Quality Department</t>
  </si>
  <si>
    <t>DRIL QUIP</t>
  </si>
  <si>
    <t>Dril Quip</t>
  </si>
  <si>
    <t>EFRAIN VILLASENOR</t>
  </si>
  <si>
    <t>6401 N Eldridge Pkwy</t>
  </si>
  <si>
    <t>281-425-5086</t>
  </si>
  <si>
    <t>ACE WINCHES</t>
  </si>
  <si>
    <t>STEVEN SMITH</t>
  </si>
  <si>
    <t>TURRIFF, ABERDEENSHIRE</t>
  </si>
  <si>
    <t>AB538EN</t>
  </si>
  <si>
    <t>44 7768 067324</t>
  </si>
  <si>
    <t>UK</t>
  </si>
  <si>
    <t>TOWIE BARCLAY WORKS</t>
  </si>
  <si>
    <t>Siemens Gamesa Renewable Energy Inc.</t>
  </si>
  <si>
    <t>Jack Lavoy</t>
  </si>
  <si>
    <t>106 East Hillcrest Street</t>
  </si>
  <si>
    <t>Adair, IA 50002</t>
  </si>
  <si>
    <t>IA</t>
  </si>
  <si>
    <t>SIEMENS IOWA</t>
  </si>
  <si>
    <t>Siemens Gamesa- Abilene</t>
  </si>
  <si>
    <t>Roland Carrington</t>
  </si>
  <si>
    <t>4400 Alafaya Trail</t>
  </si>
  <si>
    <t>Orlandox FL 32826</t>
  </si>
  <si>
    <t>(361) 222-4217</t>
  </si>
  <si>
    <t>RECAL</t>
  </si>
  <si>
    <t>Bolttech Mannings</t>
  </si>
  <si>
    <t>290 Beltway Green Blvd</t>
  </si>
  <si>
    <t>Precision Drilling</t>
  </si>
  <si>
    <t>Alex Ventura</t>
  </si>
  <si>
    <t>14041 Vickery Dr.</t>
  </si>
  <si>
    <t>Houston,TX 77032</t>
  </si>
  <si>
    <t>281-227-5753</t>
  </si>
  <si>
    <t>Alfred James III</t>
  </si>
  <si>
    <t>12800 Northwest Freeway</t>
  </si>
  <si>
    <t>713-452-7205</t>
  </si>
  <si>
    <t>Mustang CAT</t>
  </si>
  <si>
    <t>COTI INC</t>
  </si>
  <si>
    <t>Holloway Houston</t>
  </si>
  <si>
    <t>-</t>
  </si>
  <si>
    <t>C-Automation</t>
  </si>
  <si>
    <t>Randall Stockton</t>
  </si>
  <si>
    <t>10535 Fisher Rd</t>
  </si>
  <si>
    <t>832-467-4644</t>
  </si>
  <si>
    <t>Fastenal Clute</t>
  </si>
  <si>
    <t>Rodney Kifer</t>
  </si>
  <si>
    <t xml:space="preserve">734 S Main St, </t>
  </si>
  <si>
    <t>Clute, TX 77531</t>
  </si>
  <si>
    <t>tx</t>
  </si>
  <si>
    <t>979-265-2252</t>
  </si>
  <si>
    <t>8721 Clay Rd.</t>
  </si>
  <si>
    <t>Kirksey Machine</t>
  </si>
  <si>
    <t>Cody Moore</t>
  </si>
  <si>
    <t>Houston, TX 77292</t>
  </si>
  <si>
    <t>713-682-6704</t>
  </si>
  <si>
    <t>MAN Energy Solutions USA Inc.</t>
  </si>
  <si>
    <t>1758 Twinwood Pkwy</t>
  </si>
  <si>
    <t>Brookshire,Tx 77423</t>
  </si>
  <si>
    <t>(713) 780-4200</t>
  </si>
  <si>
    <t>Curtis Chandler</t>
  </si>
  <si>
    <t>12101 CUTTEN RD</t>
  </si>
  <si>
    <t>HOUSTON, TX 77066</t>
  </si>
  <si>
    <t>979-571-2820</t>
  </si>
  <si>
    <t>Recall Interval:</t>
  </si>
  <si>
    <t>3 Months</t>
  </si>
  <si>
    <t>6 Months</t>
  </si>
  <si>
    <t>9 Months</t>
  </si>
  <si>
    <t xml:space="preserve">12 Months </t>
  </si>
  <si>
    <t>24 Months</t>
  </si>
  <si>
    <t>New / Recal:</t>
  </si>
  <si>
    <t>NEW</t>
  </si>
  <si>
    <t>Testing Procedure:</t>
  </si>
  <si>
    <t>WS-WP-7.2</t>
  </si>
  <si>
    <t>COMPRESSION</t>
  </si>
  <si>
    <t>Engineered Custom Solutions, LLC.</t>
  </si>
  <si>
    <t>Tam Nguyen</t>
  </si>
  <si>
    <t>13720 FM 529 Rd</t>
  </si>
  <si>
    <t>(832) 598-2083</t>
  </si>
  <si>
    <t>Engineered Custom Solutions,</t>
  </si>
  <si>
    <t>Dennis Perez</t>
  </si>
  <si>
    <t>6000 W. Sam Houston Parkway N.</t>
  </si>
  <si>
    <t>(713) 856-0404</t>
  </si>
  <si>
    <t>PetrolValves Group</t>
  </si>
  <si>
    <t>Winshaw Hydraulic Tools(RENTAL)</t>
  </si>
  <si>
    <t>6403 Brittmoore Road</t>
  </si>
  <si>
    <t>281-885-8561</t>
  </si>
  <si>
    <t>XP2i 15k</t>
  </si>
  <si>
    <t>XP2i 10k</t>
  </si>
  <si>
    <t>A1389576</t>
  </si>
  <si>
    <t>NOV CREEKMOUNT</t>
  </si>
  <si>
    <t>Luis Gonzalez</t>
  </si>
  <si>
    <t>Houston, TX 77091</t>
  </si>
  <si>
    <t>Reytec Construction Resources, Inc</t>
  </si>
  <si>
    <t>Sophie Venturini</t>
  </si>
  <si>
    <t>1901 Hollister Street</t>
  </si>
  <si>
    <t>Houston, TX 77080</t>
  </si>
  <si>
    <t>832.212.9354</t>
  </si>
  <si>
    <t>Baker Hughes - Brittmore</t>
  </si>
  <si>
    <t>Baker Hughes</t>
  </si>
  <si>
    <t>6500 Brittmore RD.</t>
  </si>
  <si>
    <t>James Brooks</t>
  </si>
  <si>
    <t>(281) 529-2400</t>
  </si>
  <si>
    <r>
      <t>Comments:</t>
    </r>
    <r>
      <rPr>
        <b/>
        <sz val="10"/>
        <color rgb="FFFF0000"/>
        <rFont val="Calibri"/>
        <family val="2"/>
        <scheme val="minor"/>
      </rPr>
      <t xml:space="preserve">  </t>
    </r>
    <r>
      <rPr>
        <sz val="10"/>
        <color theme="1"/>
        <rFont val="Calibri"/>
        <family val="2"/>
        <scheme val="minor"/>
      </rPr>
      <t xml:space="preserve"> </t>
    </r>
  </si>
  <si>
    <t>Calibrated by:</t>
  </si>
  <si>
    <t>Approved by:</t>
  </si>
  <si>
    <t>E-Signed:</t>
  </si>
  <si>
    <t>BILLY EBERT</t>
  </si>
  <si>
    <t>Flatiron</t>
  </si>
  <si>
    <t>Micah Murphy</t>
  </si>
  <si>
    <t>817 Brewster ST</t>
  </si>
  <si>
    <t>Corpus C, TX 78401</t>
  </si>
  <si>
    <t>Kenneth Fox</t>
  </si>
  <si>
    <t xml:space="preserve">1805 Brittmoore Rd </t>
  </si>
  <si>
    <t>Houston, TX  77043</t>
  </si>
  <si>
    <t>713-301-6695</t>
  </si>
  <si>
    <t>Siemens Gamesa- OKC</t>
  </si>
  <si>
    <t>Tiffany Mahoney</t>
  </si>
  <si>
    <t>Oklahoma City, OK 73179</t>
  </si>
  <si>
    <t>OK</t>
  </si>
  <si>
    <t>689-220-9110</t>
  </si>
  <si>
    <t>7501 SW 29th Street</t>
  </si>
  <si>
    <t>(713)-957-2288</t>
  </si>
  <si>
    <t>3D At Depth</t>
  </si>
  <si>
    <t>Alfredo Escobedo</t>
  </si>
  <si>
    <t>2901 W Sam Houston Pkwy N Suite A-150</t>
  </si>
  <si>
    <t>(713) 966-6779</t>
  </si>
  <si>
    <t>Power Tool Service</t>
  </si>
  <si>
    <t xml:space="preserve">Rental Coordinator </t>
  </si>
  <si>
    <t>3718 Polk Street</t>
  </si>
  <si>
    <t>Houston, TX 77003</t>
  </si>
  <si>
    <t>JB Robertson</t>
  </si>
  <si>
    <t>713-741-8127</t>
  </si>
  <si>
    <t>P</t>
  </si>
  <si>
    <t>Sparrows Group</t>
  </si>
  <si>
    <t>Garrett Lege</t>
  </si>
  <si>
    <t>6707 Northwinds Drive</t>
  </si>
  <si>
    <t>Houston, Tx 77041</t>
  </si>
  <si>
    <t>832-467-7300</t>
  </si>
  <si>
    <t>Edourd Villaret</t>
  </si>
  <si>
    <t xml:space="preserve">11983-A FM 529 </t>
  </si>
  <si>
    <t>218231A0029</t>
  </si>
  <si>
    <t>N24061747</t>
  </si>
  <si>
    <t>ADT-681-60K</t>
  </si>
  <si>
    <t>Days Left</t>
  </si>
  <si>
    <t>Current Date</t>
  </si>
  <si>
    <t>Ownership</t>
  </si>
  <si>
    <t xml:space="preserve">AIR PRODUCT </t>
  </si>
  <si>
    <t>AIR PRODUCT</t>
  </si>
  <si>
    <t>JOSE G CONTRERAS</t>
  </si>
  <si>
    <t xml:space="preserve">10202 STRANF RD </t>
  </si>
  <si>
    <t xml:space="preserve">LAPORTE </t>
  </si>
  <si>
    <t>832-547-1897</t>
  </si>
  <si>
    <t>A&amp;M Equipment LLC.</t>
  </si>
  <si>
    <t>Keith Matetzschk</t>
  </si>
  <si>
    <t>28246 FM 2920 Rd.</t>
  </si>
  <si>
    <t>(979) 525-4431</t>
  </si>
  <si>
    <t>Herc Rentals Inc.</t>
  </si>
  <si>
    <t>1002 Clay Ct</t>
  </si>
  <si>
    <t>281-478-7921</t>
  </si>
  <si>
    <t>Lin Mendez</t>
  </si>
  <si>
    <t>Pivot Engineers</t>
  </si>
  <si>
    <t>1114 Lost Creek Blvd</t>
  </si>
  <si>
    <t>Austin, TX 78746</t>
  </si>
  <si>
    <t>512-893-3947</t>
  </si>
  <si>
    <t>SIEMENS GAMESA  - Fairless Hills</t>
  </si>
  <si>
    <t>Bobby Kuzemka</t>
  </si>
  <si>
    <t>290 Canal Road</t>
  </si>
  <si>
    <t>Fairless Hills, PA 19030</t>
  </si>
  <si>
    <t xml:space="preserve">PA </t>
  </si>
  <si>
    <t>267-793-5426</t>
  </si>
  <si>
    <t>Genesis Solar</t>
  </si>
  <si>
    <t>11995 Wiley's Well Rd</t>
  </si>
  <si>
    <t>Blythe, CA 92225</t>
  </si>
  <si>
    <t>Starcon</t>
  </si>
  <si>
    <t>Francisco Aguilar</t>
  </si>
  <si>
    <t>10610 W. Fairmont Parkway</t>
  </si>
  <si>
    <t>La Porte, TX 77571</t>
  </si>
  <si>
    <t>281-291-5260</t>
  </si>
  <si>
    <t xml:space="preserve"> S/N: </t>
  </si>
  <si>
    <t>CRYSTAL</t>
  </si>
  <si>
    <t>2,500 - 60,000 LBF</t>
  </si>
  <si>
    <t>5-1017</t>
  </si>
  <si>
    <t>DAVID SHAW</t>
  </si>
  <si>
    <t>10950 Britmoore Park Dr.</t>
  </si>
  <si>
    <t xml:space="preserve">Daelynn Williams </t>
  </si>
  <si>
    <t>HYTORC</t>
  </si>
  <si>
    <t>SGRE</t>
  </si>
  <si>
    <t>SIEMENS GAMESA - Lower Snake River Wind</t>
  </si>
  <si>
    <t>Tina Moss</t>
  </si>
  <si>
    <t>39 Falling Springs Road</t>
  </si>
  <si>
    <t>POMEROY, WA 99347</t>
  </si>
  <si>
    <t>262.495.2656</t>
  </si>
  <si>
    <t xml:space="preserve">Xavier Ochoa </t>
  </si>
  <si>
    <t>As Found (decreasing)</t>
  </si>
  <si>
    <t>Turner Supply</t>
  </si>
  <si>
    <t>Mike Johnson</t>
  </si>
  <si>
    <t>405 Deerwood Glen Drive</t>
  </si>
  <si>
    <t>N/A</t>
  </si>
  <si>
    <t>SW30-100K-B363</t>
  </si>
  <si>
    <t>TOVEY</t>
  </si>
  <si>
    <t>Pressure Transducer</t>
  </si>
  <si>
    <t>132312A</t>
  </si>
  <si>
    <t>684.07/O-0000058461</t>
  </si>
  <si>
    <t>NABORS CROSBY</t>
  </si>
  <si>
    <t>Orlando Sanchez</t>
  </si>
  <si>
    <t>2100 Crosby Dayton Rd</t>
  </si>
  <si>
    <t>Crosby, TX 77532</t>
  </si>
  <si>
    <t xml:space="preserve">281.618.4111 </t>
  </si>
  <si>
    <t xml:space="preserve">Digital Indicator </t>
  </si>
  <si>
    <t>684.06/O-0000035085-21</t>
  </si>
  <si>
    <t>Enermech</t>
  </si>
  <si>
    <t>INTEGRA Technologies</t>
  </si>
  <si>
    <t>Jared Priddy</t>
  </si>
  <si>
    <t>5812 Genoa Red Bluff Rd</t>
  </si>
  <si>
    <t>Pasadena, TX 77507</t>
  </si>
  <si>
    <t xml:space="preserve">USA </t>
  </si>
  <si>
    <t>713-920-2400</t>
  </si>
  <si>
    <t>1200 W LITTLE YORK RD</t>
  </si>
  <si>
    <t>Opero Energy</t>
  </si>
  <si>
    <t>Evan  Marthinson</t>
  </si>
  <si>
    <t>12261 FM 529</t>
  </si>
  <si>
    <t>713-452-3229</t>
  </si>
  <si>
    <t>Accuracy</t>
  </si>
  <si>
    <t>±0.25%</t>
  </si>
  <si>
    <t>±1%</t>
  </si>
  <si>
    <t>Yokohama TWS</t>
  </si>
  <si>
    <t xml:space="preserve">	Ricardo Orozco</t>
  </si>
  <si>
    <t>1811 Brittmoore RD. suite 500</t>
  </si>
  <si>
    <t>832-848-4949</t>
  </si>
  <si>
    <t>832-547-1270</t>
  </si>
  <si>
    <t>Hughes-Anderson Heat Exchanger</t>
  </si>
  <si>
    <t>Kelly Bock</t>
  </si>
  <si>
    <t>PO Box 582710</t>
  </si>
  <si>
    <t>Tulsa, OK 74158</t>
  </si>
  <si>
    <t>918 836-1681</t>
  </si>
  <si>
    <t>30k Chart Record</t>
  </si>
  <si>
    <t xml:space="preserve">Barton </t>
  </si>
  <si>
    <t>242E-060413R</t>
  </si>
  <si>
    <t>Hurricane Tool</t>
  </si>
  <si>
    <t>Brittany Mason</t>
  </si>
  <si>
    <t>2330 Pasadena Blvd., Bldg A</t>
  </si>
  <si>
    <t xml:space="preserve">281-476-5530	</t>
  </si>
  <si>
    <t>NOV Top Drive</t>
  </si>
  <si>
    <t>Luis Montes</t>
  </si>
  <si>
    <t>12950 W. Little York</t>
  </si>
  <si>
    <t>4133 Southerland Rd</t>
  </si>
  <si>
    <t>Houston, TX 77092</t>
  </si>
  <si>
    <t>Weldfit</t>
  </si>
  <si>
    <t>Daniel DeSmet</t>
  </si>
  <si>
    <t>71.4° F | 38%</t>
  </si>
  <si>
    <t>Nabors Breen</t>
  </si>
  <si>
    <t>Jeremy X</t>
  </si>
  <si>
    <t>8400 Breen Rd</t>
  </si>
  <si>
    <t>Houston, Tx 77064</t>
  </si>
  <si>
    <t>832-405-8697</t>
  </si>
  <si>
    <t>Bestway Oilfield Inc.</t>
  </si>
  <si>
    <t>Hector Lopez</t>
  </si>
  <si>
    <t>Alice, TX 78333</t>
  </si>
  <si>
    <t>3471 W. State Hwy 44</t>
  </si>
  <si>
    <t>281-452-2525</t>
  </si>
  <si>
    <t>TFMC</t>
  </si>
  <si>
    <t xml:space="preserve">Roosevelt Perez </t>
  </si>
  <si>
    <t>Plumbaway Plumbing</t>
  </si>
  <si>
    <t>122 Floradora Ln</t>
  </si>
  <si>
    <t>Houston, TX 77076</t>
  </si>
  <si>
    <t>832-5478799</t>
  </si>
  <si>
    <t>Robert Catano</t>
  </si>
  <si>
    <t>Subsea Americas Houston</t>
  </si>
  <si>
    <t>Charles</t>
  </si>
  <si>
    <t>1611 Elmview Drive Building A</t>
  </si>
  <si>
    <t>985-714-1767</t>
  </si>
  <si>
    <t>Siemens Gamesa - Bison Wind Farm</t>
  </si>
  <si>
    <t>5198 30th street</t>
  </si>
  <si>
    <t>New Salem, ND 58563</t>
  </si>
  <si>
    <t>ND</t>
  </si>
  <si>
    <t>D-Tech Calibration</t>
  </si>
  <si>
    <t>Calibration Department</t>
  </si>
  <si>
    <t>16151 Cairnway Dr. Suite 100</t>
  </si>
  <si>
    <t>Houston, TX 77084</t>
  </si>
  <si>
    <t>832-674-4961</t>
  </si>
  <si>
    <t>USA DeBusk</t>
  </si>
  <si>
    <t>THERMOMETER</t>
  </si>
  <si>
    <t>TRACE</t>
  </si>
  <si>
    <t>±0.1%</t>
  </si>
  <si>
    <t>Hytorc North</t>
  </si>
  <si>
    <t>311 Taft St</t>
  </si>
  <si>
    <t>Palmyra, WI 53156</t>
  </si>
  <si>
    <t>WI</t>
  </si>
  <si>
    <t>262-510-9587</t>
  </si>
  <si>
    <t>Universal Plant Services</t>
  </si>
  <si>
    <t>281-638-5663</t>
  </si>
  <si>
    <t>4460 Highway 225</t>
  </si>
  <si>
    <t>James Buck Mooney</t>
  </si>
  <si>
    <t>CP-43 - Torque - Rev. 6</t>
  </si>
  <si>
    <t>CP-56 - Torque - Rev.6</t>
  </si>
  <si>
    <t>COPS-QM-PRO-003 REV:F</t>
  </si>
  <si>
    <t>CP-50 - Weight - Rev. 4</t>
  </si>
  <si>
    <t xml:space="preserve">CP-100 - Fluid Control - Rev.2 </t>
  </si>
  <si>
    <t>CP-76 - Pressure - Rev.7</t>
  </si>
  <si>
    <t>NOV Rubber Plant</t>
  </si>
  <si>
    <t>PSI</t>
  </si>
  <si>
    <t>Pressure 
Gauge
 (PSI)</t>
  </si>
  <si>
    <t>Standard Output (PSI)</t>
  </si>
  <si>
    <t>Tops Field Services LLC</t>
  </si>
  <si>
    <t>Mike Earnest</t>
  </si>
  <si>
    <t>3221 5th Ave S</t>
  </si>
  <si>
    <t>Texas City, TX 77590</t>
  </si>
  <si>
    <t>281-764-5205</t>
  </si>
  <si>
    <t>ANALOG GAUGE</t>
  </si>
  <si>
    <t>Ship Channel Constructors LLC</t>
  </si>
  <si>
    <t>Jeff Miron</t>
  </si>
  <si>
    <t>15015 East Freeway B</t>
  </si>
  <si>
    <t>Channelview, TX 77530</t>
  </si>
  <si>
    <t>361-677-1091</t>
  </si>
  <si>
    <t>Siemens Energy - Sam Houston</t>
  </si>
  <si>
    <t>1200 West Sam Houston Parkway North</t>
  </si>
  <si>
    <t>Houston,TX 77043</t>
  </si>
  <si>
    <t>713-301-8678</t>
  </si>
  <si>
    <t>Steven Lumpkin</t>
  </si>
  <si>
    <t>MCDANIEL</t>
  </si>
  <si>
    <t>2583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</si>
</sst>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409]mmmm\ d\,\ yyyy;@"/>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1"/>
      <name val="Calibri"/>
      <family val="2"/>
      <scheme val="minor"/>
    </font>
    <font>
      <b/>
      <sz val="10"/>
      <name val="Arial"/>
      <family val="2"/>
    </font>
    <font>
      <sz val="10"/>
      <name val="Arial"/>
      <family val="2"/>
    </font>
    <font>
      <b/>
      <sz val="10"/>
      <color rgb="FFFF0000"/>
      <name val="Calibri"/>
      <family val="2"/>
      <scheme val="minor"/>
    </font>
    <font>
      <sz val="9"/>
      <color theme="1"/>
      <name val="Calibri"/>
      <family val="2"/>
      <scheme val="minor"/>
    </font>
    <font>
      <sz val="8"/>
      <name val="Calibri"/>
      <family val="2"/>
      <scheme val="minor"/>
    </font>
    <font>
      <sz val="9"/>
      <color rgb="FFFF0000"/>
      <name val="Calibri"/>
      <family val="2"/>
      <scheme val="minor"/>
    </font>
    <font>
      <sz val="10"/>
      <color rgb="FF181818"/>
      <name val="Segoe UI"/>
      <family val="2"/>
    </font>
    <font>
      <b/>
      <sz val="8"/>
      <color theme="1"/>
      <name val="Calibri"/>
      <family val="2"/>
      <scheme val="minor"/>
    </font>
    <font>
      <b/>
      <sz val="7"/>
      <color rgb="FFFF0000"/>
      <name val="Calibri"/>
      <family val="2"/>
      <scheme val="minor"/>
    </font>
    <font>
      <sz val="11"/>
      <color rgb="FFFF0000"/>
      <name val="Calibri"/>
      <family val="2"/>
      <scheme val="minor"/>
    </font>
    <font>
      <b/>
      <sz val="11"/>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auto="1"/>
      </bottom>
      <diagonal/>
    </border>
    <border>
      <left/>
      <right/>
      <top style="thin">
        <color indexed="64"/>
      </top>
      <bottom style="thin">
        <color indexed="64"/>
      </bottom>
      <diagonal/>
    </border>
    <border>
      <left/>
      <right/>
      <top style="double">
        <color auto="1"/>
      </top>
      <bottom/>
      <diagonal/>
    </border>
  </borders>
  <cellStyleXfs count="1">
    <xf numFmtId="0" fontId="0" fillId="0" borderId="0"/>
  </cellStyleXfs>
  <cellXfs count="92">
    <xf numFmtId="0" fontId="0" fillId="0" borderId="0" xfId="0"/>
    <xf numFmtId="0" fontId="1" fillId="0" borderId="0" xfId="0" applyFont="1"/>
    <xf numFmtId="0" fontId="2" fillId="0" borderId="1" xfId="0" applyFont="1" applyBorder="1" applyAlignment="1">
      <alignment horizontal="center" vertical="center" wrapText="1"/>
    </xf>
    <xf numFmtId="0" fontId="0" fillId="0" borderId="1" xfId="0" applyBorder="1" applyAlignment="1">
      <alignment horizontal="left"/>
    </xf>
    <xf numFmtId="0" fontId="1" fillId="0" borderId="2" xfId="0" applyFont="1" applyBorder="1"/>
    <xf numFmtId="0" fontId="0" fillId="0" borderId="2" xfId="0" applyBorder="1"/>
    <xf numFmtId="0" fontId="0" fillId="0" borderId="0" xfId="0" applyAlignment="1">
      <alignment horizontal="left"/>
    </xf>
    <xf numFmtId="0" fontId="5" fillId="0" borderId="0" xfId="0" applyFont="1"/>
    <xf numFmtId="1" fontId="0" fillId="0" borderId="0" xfId="0" applyNumberFormat="1"/>
    <xf numFmtId="0" fontId="0" fillId="0" borderId="0" xfId="0" applyAlignment="1">
      <alignment vertical="center"/>
    </xf>
    <xf numFmtId="0" fontId="1" fillId="3" borderId="1" xfId="0" applyFont="1" applyFill="1" applyBorder="1"/>
    <xf numFmtId="0" fontId="1" fillId="3" borderId="1" xfId="0" applyFont="1" applyFill="1" applyBorder="1" applyAlignment="1">
      <alignment horizontal="left"/>
    </xf>
    <xf numFmtId="0" fontId="7" fillId="0" borderId="0" xfId="0" applyFont="1"/>
    <xf numFmtId="0" fontId="8" fillId="0" borderId="0" xfId="0" applyFont="1"/>
    <xf numFmtId="0" fontId="0" fillId="2" borderId="0" xfId="0" applyFill="1"/>
    <xf numFmtId="0" fontId="7" fillId="0" borderId="0" xfId="0" applyFont="1" applyAlignment="1">
      <alignment horizontal="left"/>
    </xf>
    <xf numFmtId="0" fontId="8" fillId="0" borderId="0" xfId="0" applyFont="1" applyAlignment="1">
      <alignment horizontal="left"/>
    </xf>
    <xf numFmtId="0" fontId="0" fillId="0" borderId="0" xfId="0" quotePrefix="1"/>
    <xf numFmtId="0" fontId="6" fillId="0" borderId="0" xfId="0" applyFont="1"/>
    <xf numFmtId="0" fontId="6" fillId="0" borderId="0" xfId="0" applyFont="1" applyAlignment="1">
      <alignment horizontal="left"/>
    </xf>
    <xf numFmtId="0" fontId="0" fillId="0" borderId="0" xfId="0" applyAlignment="1">
      <alignment wrapText="1"/>
    </xf>
    <xf numFmtId="0" fontId="4" fillId="0" borderId="0" xfId="0" applyFont="1"/>
    <xf numFmtId="0" fontId="10" fillId="0" borderId="0" xfId="0" applyFont="1" applyAlignment="1">
      <alignment horizontal="center" vertical="top" wrapText="1"/>
    </xf>
    <xf numFmtId="0" fontId="2" fillId="0" borderId="0" xfId="0" applyFont="1" applyAlignment="1">
      <alignment horizontal="center" vertical="center" wrapText="1"/>
    </xf>
    <xf numFmtId="10" fontId="0" fillId="0" borderId="0" xfId="0" applyNumberFormat="1" applyAlignment="1">
      <alignment horizontal="left"/>
    </xf>
    <xf numFmtId="10" fontId="6" fillId="0" borderId="0" xfId="0" applyNumberFormat="1" applyFont="1" applyAlignment="1">
      <alignment horizontal="left"/>
    </xf>
    <xf numFmtId="0" fontId="1" fillId="2" borderId="0" xfId="0" applyFont="1" applyFill="1"/>
    <xf numFmtId="164" fontId="0" fillId="0" borderId="0" xfId="0" applyNumberFormat="1"/>
    <xf numFmtId="10" fontId="0" fillId="0" borderId="0" xfId="0" applyNumberFormat="1"/>
    <xf numFmtId="0" fontId="4" fillId="4" borderId="1" xfId="0" applyFont="1" applyFill="1" applyBorder="1"/>
    <xf numFmtId="0" fontId="4" fillId="2" borderId="1" xfId="0" applyFont="1" applyFill="1" applyBorder="1" applyAlignment="1">
      <alignment horizontal="left"/>
    </xf>
    <xf numFmtId="14" fontId="4" fillId="2" borderId="1" xfId="0" applyNumberFormat="1" applyFont="1" applyFill="1" applyBorder="1" applyAlignment="1">
      <alignment horizontal="left"/>
    </xf>
    <xf numFmtId="0" fontId="0" fillId="2" borderId="1" xfId="0" applyFill="1" applyBorder="1" applyAlignment="1">
      <alignment horizontal="left"/>
    </xf>
    <xf numFmtId="0" fontId="0" fillId="2" borderId="1" xfId="0" applyFill="1" applyBorder="1" applyAlignment="1">
      <alignment horizontal="left" vertical="center"/>
    </xf>
    <xf numFmtId="14" fontId="0" fillId="2" borderId="1" xfId="0" applyNumberFormat="1" applyFill="1" applyBorder="1"/>
    <xf numFmtId="0" fontId="0" fillId="2" borderId="1" xfId="0" applyFill="1" applyBorder="1"/>
    <xf numFmtId="0" fontId="1" fillId="3" borderId="5" xfId="0" applyFont="1" applyFill="1" applyBorder="1" applyAlignment="1">
      <alignment horizontal="left"/>
    </xf>
    <xf numFmtId="0" fontId="0" fillId="2" borderId="5" xfId="0" applyFill="1" applyBorder="1" applyAlignment="1">
      <alignment horizontal="left"/>
    </xf>
    <xf numFmtId="0" fontId="4" fillId="4" borderId="5" xfId="0" applyFont="1" applyFill="1" applyBorder="1"/>
    <xf numFmtId="4" fontId="0" fillId="0" borderId="0" xfId="0" applyNumberFormat="1"/>
    <xf numFmtId="14" fontId="0" fillId="0" borderId="0" xfId="0" applyNumberFormat="1"/>
    <xf numFmtId="14" fontId="0" fillId="0" borderId="0" xfId="0" applyNumberFormat="1" applyAlignment="1">
      <alignment horizontal="left"/>
    </xf>
    <xf numFmtId="4" fontId="0" fillId="0" borderId="1" xfId="0" applyNumberFormat="1" applyBorder="1" applyAlignment="1">
      <alignment horizontal="left"/>
    </xf>
    <xf numFmtId="14" fontId="0" fillId="2" borderId="1" xfId="0" applyNumberFormat="1" applyFill="1" applyBorder="1" applyAlignment="1">
      <alignment horizontal="left"/>
    </xf>
    <xf numFmtId="1" fontId="5" fillId="4" borderId="1" xfId="0" applyNumberFormat="1" applyFont="1" applyFill="1" applyBorder="1" applyAlignment="1">
      <alignment horizontal="center" vertical="center"/>
    </xf>
    <xf numFmtId="3" fontId="0" fillId="0" borderId="0" xfId="0" applyNumberFormat="1" applyAlignment="1">
      <alignment horizontal="left"/>
    </xf>
    <xf numFmtId="0" fontId="4" fillId="2" borderId="1" xfId="0" applyFont="1" applyFill="1" applyBorder="1" applyAlignment="1">
      <alignment horizontal="center"/>
    </xf>
    <xf numFmtId="0" fontId="0" fillId="0" borderId="8" xfId="0" applyBorder="1"/>
    <xf numFmtId="0" fontId="10" fillId="0" borderId="0" xfId="0" applyFont="1" applyAlignment="1">
      <alignment vertical="top" wrapText="1"/>
    </xf>
    <xf numFmtId="0" fontId="0" fillId="2" borderId="1" xfId="0" applyFill="1" applyBorder="1" applyAlignment="1">
      <alignment horizontal="center"/>
    </xf>
    <xf numFmtId="0" fontId="0" fillId="0" borderId="1" xfId="0" applyBorder="1" applyAlignment="1">
      <alignment horizont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4" fontId="0" fillId="0" borderId="1" xfId="0" applyNumberFormat="1" applyBorder="1" applyAlignment="1">
      <alignment horizontal="center" vertical="center"/>
    </xf>
    <xf numFmtId="4" fontId="6" fillId="0" borderId="1" xfId="0" applyNumberFormat="1" applyFont="1" applyBorder="1" applyAlignment="1">
      <alignment horizontal="center" vertical="center"/>
    </xf>
    <xf numFmtId="2" fontId="0" fillId="0" borderId="1" xfId="0" applyNumberFormat="1" applyBorder="1" applyAlignment="1">
      <alignment horizontal="center" vertical="center"/>
    </xf>
    <xf numFmtId="2" fontId="0" fillId="0" borderId="1" xfId="0" applyNumberFormat="1" applyBorder="1" applyAlignment="1">
      <alignment horizontal="left"/>
    </xf>
    <xf numFmtId="2" fontId="6" fillId="0" borderId="1" xfId="0" applyNumberFormat="1" applyFont="1" applyBorder="1" applyAlignment="1">
      <alignment horizontal="left"/>
    </xf>
    <xf numFmtId="0" fontId="1" fillId="0" borderId="8" xfId="0" applyFont="1" applyBorder="1"/>
    <xf numFmtId="0" fontId="3" fillId="2" borderId="8" xfId="0" applyFont="1" applyFill="1" applyBorder="1" applyAlignment="1">
      <alignment horizontal="right"/>
    </xf>
    <xf numFmtId="0" fontId="3" fillId="2" borderId="8" xfId="0" applyFont="1" applyFill="1" applyBorder="1"/>
    <xf numFmtId="0" fontId="12" fillId="0" borderId="0" xfId="0" applyFont="1" applyAlignment="1">
      <alignment vertical="top" wrapText="1"/>
    </xf>
    <xf numFmtId="11" fontId="0" fillId="2" borderId="1" xfId="0" applyNumberFormat="1" applyFill="1" applyBorder="1" applyAlignment="1">
      <alignment horizontal="left"/>
    </xf>
    <xf numFmtId="0" fontId="13" fillId="0" borderId="0" xfId="0" applyFont="1"/>
    <xf numFmtId="10" fontId="0" fillId="0" borderId="1" xfId="0" applyNumberFormat="1" applyBorder="1" applyAlignment="1">
      <alignment horizontal="center" vertical="center"/>
    </xf>
    <xf numFmtId="10" fontId="6"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49" fontId="0" fillId="0" borderId="3" xfId="0" applyNumberFormat="1" applyBorder="1" applyAlignment="1">
      <alignment horizontal="center"/>
    </xf>
    <xf numFmtId="0" fontId="15" fillId="0" borderId="0" xfId="0" applyFont="1"/>
    <xf numFmtId="0" fontId="4" fillId="2" borderId="1" xfId="0" applyFont="1" applyFill="1" applyBorder="1" applyAlignment="1">
      <alignment horizont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14" fontId="0" fillId="0" borderId="3" xfId="0" applyNumberFormat="1" applyBorder="1" applyAlignment="1">
      <alignment horizontal="center"/>
    </xf>
    <xf numFmtId="14" fontId="0" fillId="0" borderId="4" xfId="0" applyNumberFormat="1" applyBorder="1" applyAlignment="1">
      <alignment horizontal="center"/>
    </xf>
    <xf numFmtId="49" fontId="0" fillId="0" borderId="0" xfId="0" quotePrefix="1" applyNumberFormat="1" applyAlignment="1">
      <alignment horizontal="left" wrapText="1"/>
    </xf>
    <xf numFmtId="49" fontId="0" fillId="0" borderId="0" xfId="0" applyNumberFormat="1" applyAlignment="1">
      <alignment horizontal="left"/>
    </xf>
    <xf numFmtId="165" fontId="17" fillId="0" borderId="0" xfId="0" applyNumberFormat="1" applyFont="1" applyAlignment="1">
      <alignment horizontal="left"/>
    </xf>
    <xf numFmtId="165" fontId="16" fillId="0" borderId="0" xfId="0" applyNumberFormat="1" applyFont="1" applyAlignment="1">
      <alignment horizontal="left"/>
    </xf>
    <xf numFmtId="0" fontId="0" fillId="0" borderId="0" xfId="0" applyAlignment="1">
      <alignment horizontal="left"/>
    </xf>
    <xf numFmtId="9" fontId="0" fillId="0" borderId="0" xfId="0" applyNumberFormat="1" applyAlignment="1">
      <alignment horizontal="left"/>
    </xf>
    <xf numFmtId="0" fontId="0" fillId="0" borderId="0" xfId="0" quotePrefix="1" applyAlignment="1">
      <alignment horizontal="left"/>
    </xf>
    <xf numFmtId="0" fontId="0" fillId="0" borderId="0" xfId="0"/>
    <xf numFmtId="0" fontId="0" fillId="2" borderId="0" xfId="0" applyFill="1" applyAlignment="1">
      <alignment horizontal="left"/>
    </xf>
    <xf numFmtId="49" fontId="0" fillId="0" borderId="2" xfId="0" applyNumberFormat="1" applyBorder="1" applyAlignment="1">
      <alignment horizontal="left"/>
    </xf>
    <xf numFmtId="0" fontId="1" fillId="0" borderId="1" xfId="0" applyFont="1" applyBorder="1" applyAlignment="1">
      <alignment horizontal="center" vertical="center"/>
    </xf>
    <xf numFmtId="0" fontId="4" fillId="0" borderId="0" xfId="0" applyFont="1" applyAlignment="1">
      <alignment horizontal="left"/>
    </xf>
    <xf numFmtId="165" fontId="6" fillId="0" borderId="0" xfId="0" applyNumberFormat="1" applyFont="1" applyAlignment="1">
      <alignment horizontal="left"/>
    </xf>
    <xf numFmtId="0" fontId="1" fillId="0" borderId="7" xfId="0" applyFont="1" applyBorder="1" applyAlignment="1">
      <alignment horizontal="center"/>
    </xf>
    <xf numFmtId="0" fontId="0" fillId="0" borderId="0" xfId="0" applyAlignment="1">
      <alignment horizontal="right"/>
    </xf>
    <xf numFmtId="0" fontId="0" fillId="0" borderId="6" xfId="0" applyBorder="1" applyAlignment="1">
      <alignment horizontal="left"/>
    </xf>
    <xf numFmtId="164" fontId="0" fillId="0" borderId="0" xfId="0" applyNumberFormat="1" applyAlignment="1">
      <alignment horizontal="center"/>
    </xf>
    <xf numFmtId="0" fontId="10" fillId="0" borderId="0" xfId="0" applyFont="1" applyAlignment="1">
      <alignment horizontal="left" vertical="top" wrapText="1"/>
    </xf>
  </cellXfs>
  <cellStyles count="1">
    <cellStyle name="Normal" xfId="0" builtinId="0"/>
  </cellStyles>
  <dxfs count="6">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1" defaultTableStyle="TableStyleMedium2" defaultPivotStyle="PivotStyleLight16">
    <tableStyle name="Invisible" pivot="0" table="0" count="0" xr9:uid="{C3ECE965-D46F-4B2D-B3B3-9544F3563C7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Spin" dx="22" fmlaLink="$H$3" max="30000" min="1" page="10" val="23196"/>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171450</xdr:colOff>
      <xdr:row>4</xdr:row>
      <xdr:rowOff>0</xdr:rowOff>
    </xdr:from>
    <xdr:ext cx="184731" cy="264560"/>
    <xdr:sp macro="" textlink="">
      <xdr:nvSpPr>
        <xdr:cNvPr id="2" name="TextBox 1">
          <a:extLst>
            <a:ext uri="{FF2B5EF4-FFF2-40B4-BE49-F238E27FC236}">
              <a16:creationId xmlns:a16="http://schemas.microsoft.com/office/drawing/2014/main" id="{5BDC045F-9BDA-A663-6D1B-BA51620BE1D8}"/>
            </a:ext>
          </a:extLst>
        </xdr:cNvPr>
        <xdr:cNvSpPr txBox="1"/>
      </xdr:nvSpPr>
      <xdr:spPr>
        <a:xfrm>
          <a:off x="7667625" y="771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9</xdr:col>
      <xdr:colOff>619125</xdr:colOff>
      <xdr:row>19</xdr:row>
      <xdr:rowOff>9525</xdr:rowOff>
    </xdr:from>
    <xdr:ext cx="184731" cy="264560"/>
    <xdr:sp macro="" textlink="">
      <xdr:nvSpPr>
        <xdr:cNvPr id="3" name="TextBox 2">
          <a:extLst>
            <a:ext uri="{FF2B5EF4-FFF2-40B4-BE49-F238E27FC236}">
              <a16:creationId xmlns:a16="http://schemas.microsoft.com/office/drawing/2014/main" id="{ABFED0F9-239C-E977-EC31-16AB2B1DDF4E}"/>
            </a:ext>
          </a:extLst>
        </xdr:cNvPr>
        <xdr:cNvSpPr txBox="1"/>
      </xdr:nvSpPr>
      <xdr:spPr>
        <a:xfrm>
          <a:off x="6800850" y="4076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mc:AlternateContent xmlns:mc="http://schemas.openxmlformats.org/markup-compatibility/2006">
    <mc:Choice xmlns:a14="http://schemas.microsoft.com/office/drawing/2010/main" Requires="a14">
      <xdr:twoCellAnchor editAs="absolute">
        <xdr:from>
          <xdr:col>8</xdr:col>
          <xdr:colOff>361950</xdr:colOff>
          <xdr:row>2</xdr:row>
          <xdr:rowOff>47625</xdr:rowOff>
        </xdr:from>
        <xdr:to>
          <xdr:col>8</xdr:col>
          <xdr:colOff>571500</xdr:colOff>
          <xdr:row>3</xdr:row>
          <xdr:rowOff>95250</xdr:rowOff>
        </xdr:to>
        <xdr:sp macro="" textlink="">
          <xdr:nvSpPr>
            <xdr:cNvPr id="1028" name="Spinner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6797-D076-4BCE-A227-E9CC2F14FF46}">
  <dimension ref="A2:T42"/>
  <sheetViews>
    <sheetView showGridLines="0" tabSelected="1" zoomScaleNormal="100" zoomScalePageLayoutView="55" workbookViewId="0">
      <selection activeCell="M22" sqref="M22"/>
    </sheetView>
  </sheetViews>
  <sheetFormatPr defaultRowHeight="15" x14ac:dyDescent="0.25"/>
  <cols>
    <col min="1" max="1" width="8.85546875" customWidth="1"/>
    <col min="2" max="2" width="9.85546875" customWidth="1"/>
    <col min="3" max="3" width="11.7109375" customWidth="1"/>
    <col min="4" max="4" width="10.28515625" customWidth="1"/>
    <col min="5" max="5" width="5" customWidth="1"/>
    <col min="6" max="6" width="10" customWidth="1"/>
    <col min="7" max="7" width="11.7109375" customWidth="1"/>
    <col min="8" max="8" width="9.7109375" customWidth="1"/>
    <col min="9" max="9" width="10.140625" customWidth="1"/>
  </cols>
  <sheetData>
    <row r="2" spans="1:20" ht="15.75" thickBot="1" x14ac:dyDescent="0.3"/>
    <row r="3" spans="1:20" ht="16.5" thickTop="1" x14ac:dyDescent="0.25">
      <c r="A3" s="47"/>
      <c r="B3" s="58" t="s">
        <v>23</v>
      </c>
      <c r="C3" s="47"/>
      <c r="D3" s="47"/>
      <c r="E3" s="47"/>
      <c r="F3" s="58" t="s">
        <v>19</v>
      </c>
      <c r="G3" s="47"/>
      <c r="H3" s="59">
        <v>23196</v>
      </c>
      <c r="I3" s="60" t="s">
        <v>313</v>
      </c>
    </row>
    <row r="4" spans="1:20" x14ac:dyDescent="0.25">
      <c r="B4" s="1" t="s">
        <v>3</v>
      </c>
      <c r="C4" s="81" t="s">
        <v>495</v>
      </c>
      <c r="D4" s="81"/>
      <c r="F4" s="1" t="s">
        <v>22</v>
      </c>
      <c r="H4" s="85" t="s">
        <v>253</v>
      </c>
      <c r="I4" s="85"/>
    </row>
    <row r="5" spans="1:20" x14ac:dyDescent="0.25">
      <c r="B5" s="1" t="s">
        <v>4</v>
      </c>
      <c r="C5" s="14" t="str">
        <f>VLOOKUP(C4,'DATA - CUSTOMER'!A2:J120,3,FALSE)</f>
        <v>Steven Lumpkin</v>
      </c>
      <c r="F5" s="1" t="s">
        <v>8</v>
      </c>
      <c r="H5" s="86">
        <v>46213</v>
      </c>
      <c r="I5" s="86"/>
    </row>
    <row r="6" spans="1:20" x14ac:dyDescent="0.25">
      <c r="B6" s="1" t="s">
        <v>5</v>
      </c>
      <c r="C6" s="9" t="str">
        <f>VLOOKUP(C4,'DATA - CUSTOMER'!A2:J1200,4,FALSE)</f>
        <v>1200 West Sam Houston Parkway North</v>
      </c>
      <c r="F6" s="1" t="s">
        <v>9</v>
      </c>
      <c r="H6" s="76">
        <v>46578</v>
      </c>
      <c r="I6" s="77"/>
    </row>
    <row r="7" spans="1:20" x14ac:dyDescent="0.25">
      <c r="B7" s="1"/>
      <c r="C7" s="9" t="str">
        <f>VLOOKUP(C4,'DATA - CUSTOMER'!A2:J1200,6,FALSE)</f>
        <v>Houston,TX 77043</v>
      </c>
      <c r="F7" s="7" t="s">
        <v>20</v>
      </c>
      <c r="H7" s="78" t="s">
        <v>248</v>
      </c>
      <c r="I7" s="78"/>
    </row>
    <row r="8" spans="1:20" x14ac:dyDescent="0.25">
      <c r="B8" s="1" t="s">
        <v>6</v>
      </c>
      <c r="C8" s="82" t="str">
        <f>VLOOKUP(C4,'DATA - CUSTOMER'!A2:J120,10,FALSE)</f>
        <v>713-301-8678</v>
      </c>
      <c r="D8" s="82"/>
      <c r="F8" s="7" t="s">
        <v>21</v>
      </c>
      <c r="H8" s="79" t="s">
        <v>430</v>
      </c>
      <c r="I8" s="79"/>
    </row>
    <row r="9" spans="1:20" ht="15.75" thickBot="1" x14ac:dyDescent="0.3">
      <c r="A9" s="5"/>
      <c r="B9" s="4" t="s">
        <v>7</v>
      </c>
      <c r="C9" s="83"/>
      <c r="D9" s="83"/>
      <c r="E9" s="5"/>
      <c r="F9" s="4" t="s">
        <v>10</v>
      </c>
      <c r="G9" s="5"/>
      <c r="H9" s="5" t="s">
        <v>206</v>
      </c>
      <c r="I9" s="5"/>
    </row>
    <row r="10" spans="1:20" ht="15.75" thickTop="1" x14ac:dyDescent="0.25">
      <c r="B10" s="1"/>
      <c r="C10" s="6"/>
      <c r="D10" s="6"/>
      <c r="F10" s="1"/>
    </row>
    <row r="11" spans="1:20" x14ac:dyDescent="0.25">
      <c r="B11" s="26" t="s">
        <v>481</v>
      </c>
      <c r="C11" s="45">
        <v>30000</v>
      </c>
      <c r="F11" s="1" t="s">
        <v>359</v>
      </c>
      <c r="G11" s="74" t="s">
        <v>501</v>
      </c>
      <c r="H11" s="75"/>
      <c r="I11" s="75"/>
    </row>
    <row r="12" spans="1:20" x14ac:dyDescent="0.25">
      <c r="B12" s="1" t="s">
        <v>17</v>
      </c>
      <c r="C12" s="17" t="s">
        <v>500</v>
      </c>
      <c r="F12" s="1" t="s">
        <v>18</v>
      </c>
      <c r="G12" s="80" t="s">
        <v>489</v>
      </c>
      <c r="H12" s="80"/>
      <c r="I12" s="80"/>
    </row>
    <row r="13" spans="1:20" x14ac:dyDescent="0.25">
      <c r="B13" s="1" t="s">
        <v>1</v>
      </c>
      <c r="F13" s="1" t="s">
        <v>0</v>
      </c>
    </row>
    <row r="14" spans="1:20" ht="44.25" customHeight="1" x14ac:dyDescent="0.25">
      <c r="B14" s="2" t="s">
        <v>482</v>
      </c>
      <c r="C14" s="66" t="s">
        <v>483</v>
      </c>
      <c r="D14" s="2" t="s">
        <v>27</v>
      </c>
      <c r="F14" s="2" t="s">
        <v>482</v>
      </c>
      <c r="G14" s="66" t="s">
        <v>483</v>
      </c>
      <c r="H14" s="2" t="s">
        <v>27</v>
      </c>
      <c r="I14" s="23"/>
      <c r="T14" s="39"/>
    </row>
    <row r="15" spans="1:20" ht="15.75" customHeight="1" x14ac:dyDescent="0.25">
      <c r="B15" s="42">
        <v>0</v>
      </c>
      <c r="C15" s="55">
        <v>0</v>
      </c>
      <c r="D15" s="64">
        <v>0</v>
      </c>
      <c r="F15" s="56">
        <f t="shared" ref="F15:H16" si="0">B15</f>
        <v>0</v>
      </c>
      <c r="G15" s="53">
        <f t="shared" si="0"/>
        <v>0</v>
      </c>
      <c r="H15" s="64">
        <f t="shared" si="0"/>
        <v>0</v>
      </c>
      <c r="I15" s="24"/>
    </row>
    <row r="16" spans="1:20" ht="15.75" customHeight="1" x14ac:dyDescent="0.25">
      <c r="B16" s="42">
        <f>C11/5*1</f>
        <v>6000</v>
      </c>
      <c r="C16" s="53">
        <v>5973</v>
      </c>
      <c r="D16" s="65">
        <f>(C16-B16)/B16</f>
        <v>-4.4999999999999997E-3</v>
      </c>
      <c r="F16" s="56">
        <f t="shared" si="0"/>
        <v>6000</v>
      </c>
      <c r="G16" s="54">
        <f>C16</f>
        <v>5973</v>
      </c>
      <c r="H16" s="65">
        <f>(G16-F16)/F16</f>
        <v>-4.4999999999999997E-3</v>
      </c>
      <c r="I16" s="25"/>
      <c r="M16" s="28"/>
    </row>
    <row r="17" spans="1:9" ht="15.75" customHeight="1" x14ac:dyDescent="0.25">
      <c r="B17" s="42">
        <f>C11/5*2</f>
        <v>12000</v>
      </c>
      <c r="C17" s="53">
        <v>11994</v>
      </c>
      <c r="D17" s="65">
        <f>(C17-B17)/B17</f>
        <v>-5.0000000000000001E-4</v>
      </c>
      <c r="F17" s="56">
        <f>B17</f>
        <v>12000</v>
      </c>
      <c r="G17" s="54">
        <f t="shared" ref="G17:H20" si="1">C17</f>
        <v>11994</v>
      </c>
      <c r="H17" s="65">
        <f t="shared" si="1"/>
        <v>-5.0000000000000001E-4</v>
      </c>
      <c r="I17" s="25"/>
    </row>
    <row r="18" spans="1:9" ht="15.75" customHeight="1" x14ac:dyDescent="0.25">
      <c r="B18" s="42">
        <f>C11/5*3</f>
        <v>18000</v>
      </c>
      <c r="C18" s="53">
        <v>17983</v>
      </c>
      <c r="D18" s="65">
        <f>(C18-B18)/B18</f>
        <v>-9.4444444444444448E-4</v>
      </c>
      <c r="F18" s="56">
        <f>B18</f>
        <v>18000</v>
      </c>
      <c r="G18" s="54">
        <f>C18</f>
        <v>17983</v>
      </c>
      <c r="H18" s="65">
        <f t="shared" si="1"/>
        <v>-9.4444444444444448E-4</v>
      </c>
      <c r="I18" s="25"/>
    </row>
    <row r="19" spans="1:9" ht="15.75" customHeight="1" x14ac:dyDescent="0.25">
      <c r="B19" s="42">
        <f>B20/5*4</f>
        <v>24000</v>
      </c>
      <c r="C19" s="53">
        <v>23988</v>
      </c>
      <c r="D19" s="64">
        <f>(C19-B19)/B19</f>
        <v>-5.0000000000000001E-4</v>
      </c>
      <c r="F19" s="56">
        <f>B19</f>
        <v>24000</v>
      </c>
      <c r="G19" s="53">
        <f>C19</f>
        <v>23988</v>
      </c>
      <c r="H19" s="64">
        <f t="shared" si="1"/>
        <v>-5.0000000000000001E-4</v>
      </c>
      <c r="I19" s="24"/>
    </row>
    <row r="20" spans="1:9" ht="15.75" customHeight="1" x14ac:dyDescent="0.25">
      <c r="B20" s="42">
        <f>C11</f>
        <v>30000</v>
      </c>
      <c r="C20" s="53">
        <v>29971</v>
      </c>
      <c r="D20" s="65">
        <f>(C20-B20)/B20</f>
        <v>-9.6666666666666667E-4</v>
      </c>
      <c r="E20" s="18"/>
      <c r="F20" s="57">
        <f>B20</f>
        <v>30000</v>
      </c>
      <c r="G20" s="54">
        <f>C20</f>
        <v>29971</v>
      </c>
      <c r="H20" s="65">
        <f t="shared" si="1"/>
        <v>-9.6666666666666667E-4</v>
      </c>
      <c r="I20" s="25"/>
    </row>
    <row r="21" spans="1:9" x14ac:dyDescent="0.25">
      <c r="B21" s="87" t="s">
        <v>374</v>
      </c>
      <c r="C21" s="87"/>
      <c r="F21" s="1" t="s">
        <v>2</v>
      </c>
      <c r="G21" s="8"/>
    </row>
    <row r="22" spans="1:9" ht="44.25" customHeight="1" x14ac:dyDescent="0.25">
      <c r="B22" s="2" t="s">
        <v>482</v>
      </c>
      <c r="C22" s="66" t="s">
        <v>483</v>
      </c>
      <c r="D22" s="2" t="s">
        <v>27</v>
      </c>
      <c r="F22" s="2" t="s">
        <v>482</v>
      </c>
      <c r="G22" s="66" t="s">
        <v>483</v>
      </c>
      <c r="H22" s="2" t="s">
        <v>27</v>
      </c>
      <c r="I22" s="23"/>
    </row>
    <row r="23" spans="1:9" ht="15.75" customHeight="1" x14ac:dyDescent="0.25">
      <c r="B23" s="57">
        <f>B20</f>
        <v>30000</v>
      </c>
      <c r="C23" s="54">
        <f>C20</f>
        <v>29971</v>
      </c>
      <c r="D23" s="65">
        <f>D20</f>
        <v>-9.6666666666666667E-4</v>
      </c>
      <c r="E23" s="19"/>
      <c r="F23" s="57">
        <f>B20</f>
        <v>30000</v>
      </c>
      <c r="G23" s="54">
        <f>C20</f>
        <v>29971</v>
      </c>
      <c r="H23" s="65">
        <f>H20</f>
        <v>-9.6666666666666667E-4</v>
      </c>
      <c r="I23" s="25"/>
    </row>
    <row r="24" spans="1:9" ht="15.75" customHeight="1" x14ac:dyDescent="0.25">
      <c r="B24" s="56">
        <f>B19</f>
        <v>24000</v>
      </c>
      <c r="C24" s="53">
        <f>C19</f>
        <v>23988</v>
      </c>
      <c r="D24" s="64">
        <f>D19</f>
        <v>-5.0000000000000001E-4</v>
      </c>
      <c r="E24" s="6"/>
      <c r="F24" s="56">
        <f t="shared" ref="F24:G28" si="2">B24</f>
        <v>24000</v>
      </c>
      <c r="G24" s="53">
        <f t="shared" si="2"/>
        <v>23988</v>
      </c>
      <c r="H24" s="64">
        <f>H19</f>
        <v>-5.0000000000000001E-4</v>
      </c>
      <c r="I24" s="24"/>
    </row>
    <row r="25" spans="1:9" ht="15.75" customHeight="1" x14ac:dyDescent="0.25">
      <c r="B25" s="56">
        <f>B18</f>
        <v>18000</v>
      </c>
      <c r="C25" s="54">
        <f>C18</f>
        <v>17983</v>
      </c>
      <c r="D25" s="65">
        <f>D18</f>
        <v>-9.4444444444444448E-4</v>
      </c>
      <c r="E25" s="6"/>
      <c r="F25" s="56">
        <f>B25</f>
        <v>18000</v>
      </c>
      <c r="G25" s="54">
        <f t="shared" si="2"/>
        <v>17983</v>
      </c>
      <c r="H25" s="65">
        <f>H18</f>
        <v>-9.4444444444444448E-4</v>
      </c>
      <c r="I25" s="25"/>
    </row>
    <row r="26" spans="1:9" ht="15.75" customHeight="1" x14ac:dyDescent="0.25">
      <c r="B26" s="56">
        <f>B17</f>
        <v>12000</v>
      </c>
      <c r="C26" s="54">
        <f>C17</f>
        <v>11994</v>
      </c>
      <c r="D26" s="65">
        <f>H17</f>
        <v>-5.0000000000000001E-4</v>
      </c>
      <c r="E26" s="6"/>
      <c r="F26" s="56">
        <f>B26</f>
        <v>12000</v>
      </c>
      <c r="G26" s="54">
        <f t="shared" si="2"/>
        <v>11994</v>
      </c>
      <c r="H26" s="65">
        <f>D26</f>
        <v>-5.0000000000000001E-4</v>
      </c>
      <c r="I26" s="25"/>
    </row>
    <row r="27" spans="1:9" ht="15.75" customHeight="1" x14ac:dyDescent="0.25">
      <c r="B27" s="56">
        <f>B16</f>
        <v>6000</v>
      </c>
      <c r="C27" s="54">
        <f>C16</f>
        <v>5973</v>
      </c>
      <c r="D27" s="65">
        <f>(C27-B27)/B27</f>
        <v>-4.4999999999999997E-3</v>
      </c>
      <c r="F27" s="56">
        <f>B27</f>
        <v>6000</v>
      </c>
      <c r="G27" s="54">
        <f>C16</f>
        <v>5973</v>
      </c>
      <c r="H27" s="65">
        <f>(G27-F27)/F27</f>
        <v>-4.4999999999999997E-3</v>
      </c>
      <c r="I27" s="25"/>
    </row>
    <row r="28" spans="1:9" ht="15" customHeight="1" x14ac:dyDescent="0.25">
      <c r="B28" s="56">
        <v>0</v>
      </c>
      <c r="C28" s="53">
        <v>0</v>
      </c>
      <c r="D28" s="64">
        <v>0</v>
      </c>
      <c r="F28" s="56">
        <f t="shared" si="2"/>
        <v>0</v>
      </c>
      <c r="G28" s="53">
        <f t="shared" si="2"/>
        <v>0</v>
      </c>
      <c r="H28" s="64">
        <v>0</v>
      </c>
      <c r="I28" s="24"/>
    </row>
    <row r="29" spans="1:9" ht="15.75" thickBot="1" x14ac:dyDescent="0.3">
      <c r="A29" s="5"/>
      <c r="B29" s="5"/>
      <c r="C29" s="5"/>
      <c r="D29" s="5"/>
      <c r="E29" s="5"/>
      <c r="F29" s="5"/>
      <c r="G29" s="5"/>
      <c r="H29" s="5"/>
      <c r="I29" s="5"/>
    </row>
    <row r="30" spans="1:9" ht="6.75" customHeight="1" thickTop="1" x14ac:dyDescent="0.25"/>
    <row r="31" spans="1:9" x14ac:dyDescent="0.25">
      <c r="A31" s="1" t="s">
        <v>11</v>
      </c>
      <c r="C31" s="1"/>
      <c r="D31" s="1"/>
      <c r="E31" s="1"/>
      <c r="F31" s="1"/>
      <c r="G31" s="1"/>
      <c r="H31" s="1"/>
      <c r="I31" s="1"/>
    </row>
    <row r="32" spans="1:9" x14ac:dyDescent="0.25">
      <c r="A32" s="51" t="s">
        <v>15</v>
      </c>
      <c r="B32" s="51" t="s">
        <v>12</v>
      </c>
      <c r="C32" s="51" t="s">
        <v>13</v>
      </c>
      <c r="D32" s="52" t="s">
        <v>14</v>
      </c>
      <c r="E32" s="70" t="s">
        <v>16</v>
      </c>
      <c r="F32" s="71"/>
      <c r="G32" s="84" t="s">
        <v>24</v>
      </c>
      <c r="H32" s="84"/>
      <c r="I32" s="51" t="s">
        <v>403</v>
      </c>
    </row>
    <row r="33" spans="1:9" x14ac:dyDescent="0.25">
      <c r="A33" s="49" t="str">
        <f>VLOOKUP(C33,'Data - Standards'!A2:I18,2,FALSE)</f>
        <v>ADDITEL</v>
      </c>
      <c r="B33" s="50" t="str">
        <f>VLOOKUP(C33,'Data - Standards'!A2:I18,3,FALSE)</f>
        <v>GAUGE</v>
      </c>
      <c r="C33" s="50" t="s">
        <v>323</v>
      </c>
      <c r="D33" s="67" t="str">
        <f>VLOOKUP(C33,'Data - Standards'!A2:I18,4,FALSE)</f>
        <v>218231A0029</v>
      </c>
      <c r="E33" s="72">
        <f>VLOOKUP(C33,'Data - Standards'!A2:I18,5,FALSE)</f>
        <v>46554</v>
      </c>
      <c r="F33" s="73"/>
      <c r="G33" s="69" t="str">
        <f>VLOOKUP(C33,'Data - Standards'!A2:I18,6,FALSE)</f>
        <v>N24061747</v>
      </c>
      <c r="H33" s="69"/>
      <c r="I33" s="46" t="str">
        <f>VLOOKUP(C33,'Data - Standards'!A2:I18,7,FALSE)</f>
        <v>±0.25%</v>
      </c>
    </row>
    <row r="34" spans="1:9" ht="15" customHeight="1" x14ac:dyDescent="0.25">
      <c r="A34" s="91" t="s">
        <v>28</v>
      </c>
      <c r="B34" s="91"/>
      <c r="C34" s="91"/>
      <c r="D34" s="91"/>
      <c r="E34" s="91"/>
      <c r="F34" s="91"/>
      <c r="G34" s="91"/>
      <c r="H34" s="91"/>
      <c r="I34" s="91"/>
    </row>
    <row r="35" spans="1:9" x14ac:dyDescent="0.25">
      <c r="A35" s="91"/>
      <c r="B35" s="91"/>
      <c r="C35" s="91"/>
      <c r="D35" s="91"/>
      <c r="E35" s="91"/>
      <c r="F35" s="91"/>
      <c r="G35" s="91"/>
      <c r="H35" s="91"/>
      <c r="I35" s="91"/>
    </row>
    <row r="36" spans="1:9" ht="15" customHeight="1" x14ac:dyDescent="0.25">
      <c r="A36" s="91"/>
      <c r="B36" s="91"/>
      <c r="C36" s="91"/>
      <c r="D36" s="91"/>
      <c r="E36" s="91"/>
      <c r="F36" s="91"/>
      <c r="G36" s="91"/>
      <c r="H36" s="91"/>
      <c r="I36" s="91"/>
    </row>
    <row r="37" spans="1:9" ht="15" customHeight="1" x14ac:dyDescent="0.25">
      <c r="A37" s="91"/>
      <c r="B37" s="91"/>
      <c r="C37" s="91"/>
      <c r="D37" s="91"/>
      <c r="E37" s="91"/>
      <c r="F37" s="91"/>
      <c r="G37" s="91"/>
      <c r="H37" s="91"/>
      <c r="I37" s="91"/>
    </row>
    <row r="38" spans="1:9" ht="15" customHeight="1" x14ac:dyDescent="0.25">
      <c r="A38" s="91"/>
      <c r="B38" s="91"/>
      <c r="C38" s="91"/>
      <c r="D38" s="91"/>
      <c r="E38" s="91"/>
      <c r="F38" s="91"/>
      <c r="G38" s="91"/>
      <c r="H38" s="91"/>
      <c r="I38" s="91"/>
    </row>
    <row r="39" spans="1:9" ht="15" customHeight="1" x14ac:dyDescent="0.25">
      <c r="A39" s="61"/>
      <c r="B39" s="61"/>
      <c r="C39" s="48"/>
      <c r="D39" s="48"/>
      <c r="E39" s="48"/>
      <c r="F39" s="48"/>
      <c r="G39" s="48"/>
      <c r="H39" s="48"/>
      <c r="I39" s="22"/>
    </row>
    <row r="40" spans="1:9" ht="15.75" thickBot="1" x14ac:dyDescent="0.3">
      <c r="A40" t="s">
        <v>284</v>
      </c>
      <c r="C40" s="89" t="s">
        <v>159</v>
      </c>
      <c r="D40" s="89"/>
      <c r="E40" s="89"/>
      <c r="F40" s="88" t="s">
        <v>285</v>
      </c>
      <c r="G40" s="88"/>
      <c r="H40" s="89" t="s">
        <v>363</v>
      </c>
      <c r="I40" s="89"/>
    </row>
    <row r="41" spans="1:9" x14ac:dyDescent="0.25">
      <c r="C41" t="s">
        <v>286</v>
      </c>
      <c r="D41" s="90">
        <f>H5</f>
        <v>46213</v>
      </c>
      <c r="E41" s="90"/>
      <c r="H41" t="s">
        <v>286</v>
      </c>
      <c r="I41" s="27">
        <f>D41</f>
        <v>46213</v>
      </c>
    </row>
    <row r="42" spans="1:9" x14ac:dyDescent="0.25">
      <c r="A42" s="21" t="s">
        <v>283</v>
      </c>
      <c r="B42" s="68"/>
    </row>
  </sheetData>
  <mergeCells count="20">
    <mergeCell ref="F40:G40"/>
    <mergeCell ref="H40:I40"/>
    <mergeCell ref="D41:E41"/>
    <mergeCell ref="C40:E40"/>
    <mergeCell ref="A34:I38"/>
    <mergeCell ref="C4:D4"/>
    <mergeCell ref="C8:D8"/>
    <mergeCell ref="C9:D9"/>
    <mergeCell ref="G32:H32"/>
    <mergeCell ref="H4:I4"/>
    <mergeCell ref="H5:I5"/>
    <mergeCell ref="B21:C21"/>
    <mergeCell ref="G33:H33"/>
    <mergeCell ref="E32:F32"/>
    <mergeCell ref="E33:F33"/>
    <mergeCell ref="G11:I11"/>
    <mergeCell ref="H6:I6"/>
    <mergeCell ref="H7:I7"/>
    <mergeCell ref="H8:I8"/>
    <mergeCell ref="G12:I12"/>
  </mergeCells>
  <phoneticPr fontId="11" type="noConversion"/>
  <pageMargins left="0.7" right="0.7" top="0.75" bottom="0.75" header="0.3" footer="0.3"/>
  <pageSetup orientation="portrait" r:id="rId1"/>
  <headerFooter>
    <oddHeader>&amp;C
&amp;G</oddHeader>
    <oddFooter>&amp;L&amp;8 6403 Brittmoore Dr.  Houston TX 77041
(281)885-8561
www.winshawhydraulictools.com&amp;C&amp;G
Page &amp;P of &amp;N&amp;R&amp;10WS-WP-CRT-004
 REV:001</oddFooter>
  </headerFooter>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8" r:id="rId5" name="Spinner 4">
              <controlPr defaultSize="0" print="0" autoPict="0">
                <anchor>
                  <from>
                    <xdr:col>8</xdr:col>
                    <xdr:colOff>361950</xdr:colOff>
                    <xdr:row>2</xdr:row>
                    <xdr:rowOff>47625</xdr:rowOff>
                  </from>
                  <to>
                    <xdr:col>8</xdr:col>
                    <xdr:colOff>571500</xdr:colOff>
                    <xdr:row>3</xdr:row>
                    <xdr:rowOff>95250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5">
        <x14:dataValidation type="list" allowBlank="1" showInputMessage="1" showErrorMessage="1" xr:uid="{53792EF9-ED24-4242-A42D-332D5E367B54}">
          <x14:formula1>
            <xm:f>'Data - Standards'!$P$3:$P$15</xm:f>
          </x14:formula1>
          <xm:sqref>H4:I4</xm:sqref>
        </x14:dataValidation>
        <x14:dataValidation type="list" allowBlank="1" showInputMessage="1" showErrorMessage="1" xr:uid="{CE35D311-219B-4C75-BF57-8E823BD7377A}">
          <x14:formula1>
            <xm:f>'Data - Standards'!$N$3:$N$15</xm:f>
          </x14:formula1>
          <xm:sqref>H7:I7</xm:sqref>
        </x14:dataValidation>
        <x14:dataValidation type="list" allowBlank="1" showInputMessage="1" showErrorMessage="1" xr:uid="{BAE34003-11FF-40A5-8C8C-4FD7FCE60A36}">
          <x14:formula1>
            <xm:f>'Data - Standards'!$O$3:$O$4</xm:f>
          </x14:formula1>
          <xm:sqref>H9:I9</xm:sqref>
        </x14:dataValidation>
        <x14:dataValidation type="list" allowBlank="1" showInputMessage="1" showErrorMessage="1" xr:uid="{4D00BE73-AA5A-4C93-9D41-997DBBB92B4B}">
          <x14:formula1>
            <xm:f>'DATA - CUSTOMER'!$A$2:$A$121</xm:f>
          </x14:formula1>
          <xm:sqref>C4:D4</xm:sqref>
        </x14:dataValidation>
        <x14:dataValidation type="list" allowBlank="1" showInputMessage="1" showErrorMessage="1" xr:uid="{FB116AEE-B113-4719-A4D5-85904E7842A3}">
          <x14:formula1>
            <xm:f>'Data - Standards'!$A$2:$A$18</xm:f>
          </x14:formula1>
          <xm:sqref>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77882-3913-401F-8A2B-7A04FE34E511}">
  <dimension ref="A1:O82"/>
  <sheetViews>
    <sheetView topLeftCell="A52" workbookViewId="0">
      <selection activeCell="A52" sqref="A1:XFD1048576"/>
    </sheetView>
  </sheetViews>
  <sheetFormatPr defaultRowHeight="15" x14ac:dyDescent="0.25"/>
  <cols>
    <col min="1" max="1" width="32.7109375" bestFit="1" customWidth="1"/>
    <col min="2" max="2" width="37.5703125" bestFit="1" customWidth="1"/>
    <col min="3" max="3" width="22.7109375" customWidth="1"/>
    <col min="4" max="4" width="27.140625" customWidth="1"/>
    <col min="6" max="6" width="23.85546875" bestFit="1" customWidth="1"/>
    <col min="9" max="9" width="12.42578125" customWidth="1"/>
    <col min="10" max="10" width="21.140625" style="6" customWidth="1"/>
    <col min="257" max="257" width="25.28515625" customWidth="1"/>
    <col min="258" max="258" width="23.28515625" customWidth="1"/>
    <col min="259" max="259" width="22.7109375" customWidth="1"/>
    <col min="260" max="260" width="27.140625" customWidth="1"/>
    <col min="262" max="262" width="13.28515625" customWidth="1"/>
    <col min="265" max="265" width="12.42578125" customWidth="1"/>
    <col min="266" max="266" width="21.140625" customWidth="1"/>
    <col min="513" max="513" width="25.28515625" customWidth="1"/>
    <col min="514" max="514" width="23.28515625" customWidth="1"/>
    <col min="515" max="515" width="22.7109375" customWidth="1"/>
    <col min="516" max="516" width="27.140625" customWidth="1"/>
    <col min="518" max="518" width="13.28515625" customWidth="1"/>
    <col min="521" max="521" width="12.42578125" customWidth="1"/>
    <col min="522" max="522" width="21.140625" customWidth="1"/>
    <col min="769" max="769" width="25.28515625" customWidth="1"/>
    <col min="770" max="770" width="23.28515625" customWidth="1"/>
    <col min="771" max="771" width="22.7109375" customWidth="1"/>
    <col min="772" max="772" width="27.140625" customWidth="1"/>
    <col min="774" max="774" width="13.28515625" customWidth="1"/>
    <col min="777" max="777" width="12.42578125" customWidth="1"/>
    <col min="778" max="778" width="21.140625" customWidth="1"/>
    <col min="1025" max="1025" width="25.28515625" customWidth="1"/>
    <col min="1026" max="1026" width="23.28515625" customWidth="1"/>
    <col min="1027" max="1027" width="22.7109375" customWidth="1"/>
    <col min="1028" max="1028" width="27.140625" customWidth="1"/>
    <col min="1030" max="1030" width="13.28515625" customWidth="1"/>
    <col min="1033" max="1033" width="12.42578125" customWidth="1"/>
    <col min="1034" max="1034" width="21.140625" customWidth="1"/>
    <col min="1281" max="1281" width="25.28515625" customWidth="1"/>
    <col min="1282" max="1282" width="23.28515625" customWidth="1"/>
    <col min="1283" max="1283" width="22.7109375" customWidth="1"/>
    <col min="1284" max="1284" width="27.140625" customWidth="1"/>
    <col min="1286" max="1286" width="13.28515625" customWidth="1"/>
    <col min="1289" max="1289" width="12.42578125" customWidth="1"/>
    <col min="1290" max="1290" width="21.140625" customWidth="1"/>
    <col min="1537" max="1537" width="25.28515625" customWidth="1"/>
    <col min="1538" max="1538" width="23.28515625" customWidth="1"/>
    <col min="1539" max="1539" width="22.7109375" customWidth="1"/>
    <col min="1540" max="1540" width="27.140625" customWidth="1"/>
    <col min="1542" max="1542" width="13.28515625" customWidth="1"/>
    <col min="1545" max="1545" width="12.42578125" customWidth="1"/>
    <col min="1546" max="1546" width="21.140625" customWidth="1"/>
    <col min="1793" max="1793" width="25.28515625" customWidth="1"/>
    <col min="1794" max="1794" width="23.28515625" customWidth="1"/>
    <col min="1795" max="1795" width="22.7109375" customWidth="1"/>
    <col min="1796" max="1796" width="27.140625" customWidth="1"/>
    <col min="1798" max="1798" width="13.28515625" customWidth="1"/>
    <col min="1801" max="1801" width="12.42578125" customWidth="1"/>
    <col min="1802" max="1802" width="21.140625" customWidth="1"/>
    <col min="2049" max="2049" width="25.28515625" customWidth="1"/>
    <col min="2050" max="2050" width="23.28515625" customWidth="1"/>
    <col min="2051" max="2051" width="22.7109375" customWidth="1"/>
    <col min="2052" max="2052" width="27.140625" customWidth="1"/>
    <col min="2054" max="2054" width="13.28515625" customWidth="1"/>
    <col min="2057" max="2057" width="12.42578125" customWidth="1"/>
    <col min="2058" max="2058" width="21.140625" customWidth="1"/>
    <col min="2305" max="2305" width="25.28515625" customWidth="1"/>
    <col min="2306" max="2306" width="23.28515625" customWidth="1"/>
    <col min="2307" max="2307" width="22.7109375" customWidth="1"/>
    <col min="2308" max="2308" width="27.140625" customWidth="1"/>
    <col min="2310" max="2310" width="13.28515625" customWidth="1"/>
    <col min="2313" max="2313" width="12.42578125" customWidth="1"/>
    <col min="2314" max="2314" width="21.140625" customWidth="1"/>
    <col min="2561" max="2561" width="25.28515625" customWidth="1"/>
    <col min="2562" max="2562" width="23.28515625" customWidth="1"/>
    <col min="2563" max="2563" width="22.7109375" customWidth="1"/>
    <col min="2564" max="2564" width="27.140625" customWidth="1"/>
    <col min="2566" max="2566" width="13.28515625" customWidth="1"/>
    <col min="2569" max="2569" width="12.42578125" customWidth="1"/>
    <col min="2570" max="2570" width="21.140625" customWidth="1"/>
    <col min="2817" max="2817" width="25.28515625" customWidth="1"/>
    <col min="2818" max="2818" width="23.28515625" customWidth="1"/>
    <col min="2819" max="2819" width="22.7109375" customWidth="1"/>
    <col min="2820" max="2820" width="27.140625" customWidth="1"/>
    <col min="2822" max="2822" width="13.28515625" customWidth="1"/>
    <col min="2825" max="2825" width="12.42578125" customWidth="1"/>
    <col min="2826" max="2826" width="21.140625" customWidth="1"/>
    <col min="3073" max="3073" width="25.28515625" customWidth="1"/>
    <col min="3074" max="3074" width="23.28515625" customWidth="1"/>
    <col min="3075" max="3075" width="22.7109375" customWidth="1"/>
    <col min="3076" max="3076" width="27.140625" customWidth="1"/>
    <col min="3078" max="3078" width="13.28515625" customWidth="1"/>
    <col min="3081" max="3081" width="12.42578125" customWidth="1"/>
    <col min="3082" max="3082" width="21.140625" customWidth="1"/>
    <col min="3329" max="3329" width="25.28515625" customWidth="1"/>
    <col min="3330" max="3330" width="23.28515625" customWidth="1"/>
    <col min="3331" max="3331" width="22.7109375" customWidth="1"/>
    <col min="3332" max="3332" width="27.140625" customWidth="1"/>
    <col min="3334" max="3334" width="13.28515625" customWidth="1"/>
    <col min="3337" max="3337" width="12.42578125" customWidth="1"/>
    <col min="3338" max="3338" width="21.140625" customWidth="1"/>
    <col min="3585" max="3585" width="25.28515625" customWidth="1"/>
    <col min="3586" max="3586" width="23.28515625" customWidth="1"/>
    <col min="3587" max="3587" width="22.7109375" customWidth="1"/>
    <col min="3588" max="3588" width="27.140625" customWidth="1"/>
    <col min="3590" max="3590" width="13.28515625" customWidth="1"/>
    <col min="3593" max="3593" width="12.42578125" customWidth="1"/>
    <col min="3594" max="3594" width="21.140625" customWidth="1"/>
    <col min="3841" max="3841" width="25.28515625" customWidth="1"/>
    <col min="3842" max="3842" width="23.28515625" customWidth="1"/>
    <col min="3843" max="3843" width="22.7109375" customWidth="1"/>
    <col min="3844" max="3844" width="27.140625" customWidth="1"/>
    <col min="3846" max="3846" width="13.28515625" customWidth="1"/>
    <col min="3849" max="3849" width="12.42578125" customWidth="1"/>
    <col min="3850" max="3850" width="21.140625" customWidth="1"/>
    <col min="4097" max="4097" width="25.28515625" customWidth="1"/>
    <col min="4098" max="4098" width="23.28515625" customWidth="1"/>
    <col min="4099" max="4099" width="22.7109375" customWidth="1"/>
    <col min="4100" max="4100" width="27.140625" customWidth="1"/>
    <col min="4102" max="4102" width="13.28515625" customWidth="1"/>
    <col min="4105" max="4105" width="12.42578125" customWidth="1"/>
    <col min="4106" max="4106" width="21.140625" customWidth="1"/>
    <col min="4353" max="4353" width="25.28515625" customWidth="1"/>
    <col min="4354" max="4354" width="23.28515625" customWidth="1"/>
    <col min="4355" max="4355" width="22.7109375" customWidth="1"/>
    <col min="4356" max="4356" width="27.140625" customWidth="1"/>
    <col min="4358" max="4358" width="13.28515625" customWidth="1"/>
    <col min="4361" max="4361" width="12.42578125" customWidth="1"/>
    <col min="4362" max="4362" width="21.140625" customWidth="1"/>
    <col min="4609" max="4609" width="25.28515625" customWidth="1"/>
    <col min="4610" max="4610" width="23.28515625" customWidth="1"/>
    <col min="4611" max="4611" width="22.7109375" customWidth="1"/>
    <col min="4612" max="4612" width="27.140625" customWidth="1"/>
    <col min="4614" max="4614" width="13.28515625" customWidth="1"/>
    <col min="4617" max="4617" width="12.42578125" customWidth="1"/>
    <col min="4618" max="4618" width="21.140625" customWidth="1"/>
    <col min="4865" max="4865" width="25.28515625" customWidth="1"/>
    <col min="4866" max="4866" width="23.28515625" customWidth="1"/>
    <col min="4867" max="4867" width="22.7109375" customWidth="1"/>
    <col min="4868" max="4868" width="27.140625" customWidth="1"/>
    <col min="4870" max="4870" width="13.28515625" customWidth="1"/>
    <col min="4873" max="4873" width="12.42578125" customWidth="1"/>
    <col min="4874" max="4874" width="21.140625" customWidth="1"/>
    <col min="5121" max="5121" width="25.28515625" customWidth="1"/>
    <col min="5122" max="5122" width="23.28515625" customWidth="1"/>
    <col min="5123" max="5123" width="22.7109375" customWidth="1"/>
    <col min="5124" max="5124" width="27.140625" customWidth="1"/>
    <col min="5126" max="5126" width="13.28515625" customWidth="1"/>
    <col min="5129" max="5129" width="12.42578125" customWidth="1"/>
    <col min="5130" max="5130" width="21.140625" customWidth="1"/>
    <col min="5377" max="5377" width="25.28515625" customWidth="1"/>
    <col min="5378" max="5378" width="23.28515625" customWidth="1"/>
    <col min="5379" max="5379" width="22.7109375" customWidth="1"/>
    <col min="5380" max="5380" width="27.140625" customWidth="1"/>
    <col min="5382" max="5382" width="13.28515625" customWidth="1"/>
    <col min="5385" max="5385" width="12.42578125" customWidth="1"/>
    <col min="5386" max="5386" width="21.140625" customWidth="1"/>
    <col min="5633" max="5633" width="25.28515625" customWidth="1"/>
    <col min="5634" max="5634" width="23.28515625" customWidth="1"/>
    <col min="5635" max="5635" width="22.7109375" customWidth="1"/>
    <col min="5636" max="5636" width="27.140625" customWidth="1"/>
    <col min="5638" max="5638" width="13.28515625" customWidth="1"/>
    <col min="5641" max="5641" width="12.42578125" customWidth="1"/>
    <col min="5642" max="5642" width="21.140625" customWidth="1"/>
    <col min="5889" max="5889" width="25.28515625" customWidth="1"/>
    <col min="5890" max="5890" width="23.28515625" customWidth="1"/>
    <col min="5891" max="5891" width="22.7109375" customWidth="1"/>
    <col min="5892" max="5892" width="27.140625" customWidth="1"/>
    <col min="5894" max="5894" width="13.28515625" customWidth="1"/>
    <col min="5897" max="5897" width="12.42578125" customWidth="1"/>
    <col min="5898" max="5898" width="21.140625" customWidth="1"/>
    <col min="6145" max="6145" width="25.28515625" customWidth="1"/>
    <col min="6146" max="6146" width="23.28515625" customWidth="1"/>
    <col min="6147" max="6147" width="22.7109375" customWidth="1"/>
    <col min="6148" max="6148" width="27.140625" customWidth="1"/>
    <col min="6150" max="6150" width="13.28515625" customWidth="1"/>
    <col min="6153" max="6153" width="12.42578125" customWidth="1"/>
    <col min="6154" max="6154" width="21.140625" customWidth="1"/>
    <col min="6401" max="6401" width="25.28515625" customWidth="1"/>
    <col min="6402" max="6402" width="23.28515625" customWidth="1"/>
    <col min="6403" max="6403" width="22.7109375" customWidth="1"/>
    <col min="6404" max="6404" width="27.140625" customWidth="1"/>
    <col min="6406" max="6406" width="13.28515625" customWidth="1"/>
    <col min="6409" max="6409" width="12.42578125" customWidth="1"/>
    <col min="6410" max="6410" width="21.140625" customWidth="1"/>
    <col min="6657" max="6657" width="25.28515625" customWidth="1"/>
    <col min="6658" max="6658" width="23.28515625" customWidth="1"/>
    <col min="6659" max="6659" width="22.7109375" customWidth="1"/>
    <col min="6660" max="6660" width="27.140625" customWidth="1"/>
    <col min="6662" max="6662" width="13.28515625" customWidth="1"/>
    <col min="6665" max="6665" width="12.42578125" customWidth="1"/>
    <col min="6666" max="6666" width="21.140625" customWidth="1"/>
    <col min="6913" max="6913" width="25.28515625" customWidth="1"/>
    <col min="6914" max="6914" width="23.28515625" customWidth="1"/>
    <col min="6915" max="6915" width="22.7109375" customWidth="1"/>
    <col min="6916" max="6916" width="27.140625" customWidth="1"/>
    <col min="6918" max="6918" width="13.28515625" customWidth="1"/>
    <col min="6921" max="6921" width="12.42578125" customWidth="1"/>
    <col min="6922" max="6922" width="21.140625" customWidth="1"/>
    <col min="7169" max="7169" width="25.28515625" customWidth="1"/>
    <col min="7170" max="7170" width="23.28515625" customWidth="1"/>
    <col min="7171" max="7171" width="22.7109375" customWidth="1"/>
    <col min="7172" max="7172" width="27.140625" customWidth="1"/>
    <col min="7174" max="7174" width="13.28515625" customWidth="1"/>
    <col min="7177" max="7177" width="12.42578125" customWidth="1"/>
    <col min="7178" max="7178" width="21.140625" customWidth="1"/>
    <col min="7425" max="7425" width="25.28515625" customWidth="1"/>
    <col min="7426" max="7426" width="23.28515625" customWidth="1"/>
    <col min="7427" max="7427" width="22.7109375" customWidth="1"/>
    <col min="7428" max="7428" width="27.140625" customWidth="1"/>
    <col min="7430" max="7430" width="13.28515625" customWidth="1"/>
    <col min="7433" max="7433" width="12.42578125" customWidth="1"/>
    <col min="7434" max="7434" width="21.140625" customWidth="1"/>
    <col min="7681" max="7681" width="25.28515625" customWidth="1"/>
    <col min="7682" max="7682" width="23.28515625" customWidth="1"/>
    <col min="7683" max="7683" width="22.7109375" customWidth="1"/>
    <col min="7684" max="7684" width="27.140625" customWidth="1"/>
    <col min="7686" max="7686" width="13.28515625" customWidth="1"/>
    <col min="7689" max="7689" width="12.42578125" customWidth="1"/>
    <col min="7690" max="7690" width="21.140625" customWidth="1"/>
    <col min="7937" max="7937" width="25.28515625" customWidth="1"/>
    <col min="7938" max="7938" width="23.28515625" customWidth="1"/>
    <col min="7939" max="7939" width="22.7109375" customWidth="1"/>
    <col min="7940" max="7940" width="27.140625" customWidth="1"/>
    <col min="7942" max="7942" width="13.28515625" customWidth="1"/>
    <col min="7945" max="7945" width="12.42578125" customWidth="1"/>
    <col min="7946" max="7946" width="21.140625" customWidth="1"/>
    <col min="8193" max="8193" width="25.28515625" customWidth="1"/>
    <col min="8194" max="8194" width="23.28515625" customWidth="1"/>
    <col min="8195" max="8195" width="22.7109375" customWidth="1"/>
    <col min="8196" max="8196" width="27.140625" customWidth="1"/>
    <col min="8198" max="8198" width="13.28515625" customWidth="1"/>
    <col min="8201" max="8201" width="12.42578125" customWidth="1"/>
    <col min="8202" max="8202" width="21.140625" customWidth="1"/>
    <col min="8449" max="8449" width="25.28515625" customWidth="1"/>
    <col min="8450" max="8450" width="23.28515625" customWidth="1"/>
    <col min="8451" max="8451" width="22.7109375" customWidth="1"/>
    <col min="8452" max="8452" width="27.140625" customWidth="1"/>
    <col min="8454" max="8454" width="13.28515625" customWidth="1"/>
    <col min="8457" max="8457" width="12.42578125" customWidth="1"/>
    <col min="8458" max="8458" width="21.140625" customWidth="1"/>
    <col min="8705" max="8705" width="25.28515625" customWidth="1"/>
    <col min="8706" max="8706" width="23.28515625" customWidth="1"/>
    <col min="8707" max="8707" width="22.7109375" customWidth="1"/>
    <col min="8708" max="8708" width="27.140625" customWidth="1"/>
    <col min="8710" max="8710" width="13.28515625" customWidth="1"/>
    <col min="8713" max="8713" width="12.42578125" customWidth="1"/>
    <col min="8714" max="8714" width="21.140625" customWidth="1"/>
    <col min="8961" max="8961" width="25.28515625" customWidth="1"/>
    <col min="8962" max="8962" width="23.28515625" customWidth="1"/>
    <col min="8963" max="8963" width="22.7109375" customWidth="1"/>
    <col min="8964" max="8964" width="27.140625" customWidth="1"/>
    <col min="8966" max="8966" width="13.28515625" customWidth="1"/>
    <col min="8969" max="8969" width="12.42578125" customWidth="1"/>
    <col min="8970" max="8970" width="21.140625" customWidth="1"/>
    <col min="9217" max="9217" width="25.28515625" customWidth="1"/>
    <col min="9218" max="9218" width="23.28515625" customWidth="1"/>
    <col min="9219" max="9219" width="22.7109375" customWidth="1"/>
    <col min="9220" max="9220" width="27.140625" customWidth="1"/>
    <col min="9222" max="9222" width="13.28515625" customWidth="1"/>
    <col min="9225" max="9225" width="12.42578125" customWidth="1"/>
    <col min="9226" max="9226" width="21.140625" customWidth="1"/>
    <col min="9473" max="9473" width="25.28515625" customWidth="1"/>
    <col min="9474" max="9474" width="23.28515625" customWidth="1"/>
    <col min="9475" max="9475" width="22.7109375" customWidth="1"/>
    <col min="9476" max="9476" width="27.140625" customWidth="1"/>
    <col min="9478" max="9478" width="13.28515625" customWidth="1"/>
    <col min="9481" max="9481" width="12.42578125" customWidth="1"/>
    <col min="9482" max="9482" width="21.140625" customWidth="1"/>
    <col min="9729" max="9729" width="25.28515625" customWidth="1"/>
    <col min="9730" max="9730" width="23.28515625" customWidth="1"/>
    <col min="9731" max="9731" width="22.7109375" customWidth="1"/>
    <col min="9732" max="9732" width="27.140625" customWidth="1"/>
    <col min="9734" max="9734" width="13.28515625" customWidth="1"/>
    <col min="9737" max="9737" width="12.42578125" customWidth="1"/>
    <col min="9738" max="9738" width="21.140625" customWidth="1"/>
    <col min="9985" max="9985" width="25.28515625" customWidth="1"/>
    <col min="9986" max="9986" width="23.28515625" customWidth="1"/>
    <col min="9987" max="9987" width="22.7109375" customWidth="1"/>
    <col min="9988" max="9988" width="27.140625" customWidth="1"/>
    <col min="9990" max="9990" width="13.28515625" customWidth="1"/>
    <col min="9993" max="9993" width="12.42578125" customWidth="1"/>
    <col min="9994" max="9994" width="21.140625" customWidth="1"/>
    <col min="10241" max="10241" width="25.28515625" customWidth="1"/>
    <col min="10242" max="10242" width="23.28515625" customWidth="1"/>
    <col min="10243" max="10243" width="22.7109375" customWidth="1"/>
    <col min="10244" max="10244" width="27.140625" customWidth="1"/>
    <col min="10246" max="10246" width="13.28515625" customWidth="1"/>
    <col min="10249" max="10249" width="12.42578125" customWidth="1"/>
    <col min="10250" max="10250" width="21.140625" customWidth="1"/>
    <col min="10497" max="10497" width="25.28515625" customWidth="1"/>
    <col min="10498" max="10498" width="23.28515625" customWidth="1"/>
    <col min="10499" max="10499" width="22.7109375" customWidth="1"/>
    <col min="10500" max="10500" width="27.140625" customWidth="1"/>
    <col min="10502" max="10502" width="13.28515625" customWidth="1"/>
    <col min="10505" max="10505" width="12.42578125" customWidth="1"/>
    <col min="10506" max="10506" width="21.140625" customWidth="1"/>
    <col min="10753" max="10753" width="25.28515625" customWidth="1"/>
    <col min="10754" max="10754" width="23.28515625" customWidth="1"/>
    <col min="10755" max="10755" width="22.7109375" customWidth="1"/>
    <col min="10756" max="10756" width="27.140625" customWidth="1"/>
    <col min="10758" max="10758" width="13.28515625" customWidth="1"/>
    <col min="10761" max="10761" width="12.42578125" customWidth="1"/>
    <col min="10762" max="10762" width="21.140625" customWidth="1"/>
    <col min="11009" max="11009" width="25.28515625" customWidth="1"/>
    <col min="11010" max="11010" width="23.28515625" customWidth="1"/>
    <col min="11011" max="11011" width="22.7109375" customWidth="1"/>
    <col min="11012" max="11012" width="27.140625" customWidth="1"/>
    <col min="11014" max="11014" width="13.28515625" customWidth="1"/>
    <col min="11017" max="11017" width="12.42578125" customWidth="1"/>
    <col min="11018" max="11018" width="21.140625" customWidth="1"/>
    <col min="11265" max="11265" width="25.28515625" customWidth="1"/>
    <col min="11266" max="11266" width="23.28515625" customWidth="1"/>
    <col min="11267" max="11267" width="22.7109375" customWidth="1"/>
    <col min="11268" max="11268" width="27.140625" customWidth="1"/>
    <col min="11270" max="11270" width="13.28515625" customWidth="1"/>
    <col min="11273" max="11273" width="12.42578125" customWidth="1"/>
    <col min="11274" max="11274" width="21.140625" customWidth="1"/>
    <col min="11521" max="11521" width="25.28515625" customWidth="1"/>
    <col min="11522" max="11522" width="23.28515625" customWidth="1"/>
    <col min="11523" max="11523" width="22.7109375" customWidth="1"/>
    <col min="11524" max="11524" width="27.140625" customWidth="1"/>
    <col min="11526" max="11526" width="13.28515625" customWidth="1"/>
    <col min="11529" max="11529" width="12.42578125" customWidth="1"/>
    <col min="11530" max="11530" width="21.140625" customWidth="1"/>
    <col min="11777" max="11777" width="25.28515625" customWidth="1"/>
    <col min="11778" max="11778" width="23.28515625" customWidth="1"/>
    <col min="11779" max="11779" width="22.7109375" customWidth="1"/>
    <col min="11780" max="11780" width="27.140625" customWidth="1"/>
    <col min="11782" max="11782" width="13.28515625" customWidth="1"/>
    <col min="11785" max="11785" width="12.42578125" customWidth="1"/>
    <col min="11786" max="11786" width="21.140625" customWidth="1"/>
    <col min="12033" max="12033" width="25.28515625" customWidth="1"/>
    <col min="12034" max="12034" width="23.28515625" customWidth="1"/>
    <col min="12035" max="12035" width="22.7109375" customWidth="1"/>
    <col min="12036" max="12036" width="27.140625" customWidth="1"/>
    <col min="12038" max="12038" width="13.28515625" customWidth="1"/>
    <col min="12041" max="12041" width="12.42578125" customWidth="1"/>
    <col min="12042" max="12042" width="21.140625" customWidth="1"/>
    <col min="12289" max="12289" width="25.28515625" customWidth="1"/>
    <col min="12290" max="12290" width="23.28515625" customWidth="1"/>
    <col min="12291" max="12291" width="22.7109375" customWidth="1"/>
    <col min="12292" max="12292" width="27.140625" customWidth="1"/>
    <col min="12294" max="12294" width="13.28515625" customWidth="1"/>
    <col min="12297" max="12297" width="12.42578125" customWidth="1"/>
    <col min="12298" max="12298" width="21.140625" customWidth="1"/>
    <col min="12545" max="12545" width="25.28515625" customWidth="1"/>
    <col min="12546" max="12546" width="23.28515625" customWidth="1"/>
    <col min="12547" max="12547" width="22.7109375" customWidth="1"/>
    <col min="12548" max="12548" width="27.140625" customWidth="1"/>
    <col min="12550" max="12550" width="13.28515625" customWidth="1"/>
    <col min="12553" max="12553" width="12.42578125" customWidth="1"/>
    <col min="12554" max="12554" width="21.140625" customWidth="1"/>
    <col min="12801" max="12801" width="25.28515625" customWidth="1"/>
    <col min="12802" max="12802" width="23.28515625" customWidth="1"/>
    <col min="12803" max="12803" width="22.7109375" customWidth="1"/>
    <col min="12804" max="12804" width="27.140625" customWidth="1"/>
    <col min="12806" max="12806" width="13.28515625" customWidth="1"/>
    <col min="12809" max="12809" width="12.42578125" customWidth="1"/>
    <col min="12810" max="12810" width="21.140625" customWidth="1"/>
    <col min="13057" max="13057" width="25.28515625" customWidth="1"/>
    <col min="13058" max="13058" width="23.28515625" customWidth="1"/>
    <col min="13059" max="13059" width="22.7109375" customWidth="1"/>
    <col min="13060" max="13060" width="27.140625" customWidth="1"/>
    <col min="13062" max="13062" width="13.28515625" customWidth="1"/>
    <col min="13065" max="13065" width="12.42578125" customWidth="1"/>
    <col min="13066" max="13066" width="21.140625" customWidth="1"/>
    <col min="13313" max="13313" width="25.28515625" customWidth="1"/>
    <col min="13314" max="13314" width="23.28515625" customWidth="1"/>
    <col min="13315" max="13315" width="22.7109375" customWidth="1"/>
    <col min="13316" max="13316" width="27.140625" customWidth="1"/>
    <col min="13318" max="13318" width="13.28515625" customWidth="1"/>
    <col min="13321" max="13321" width="12.42578125" customWidth="1"/>
    <col min="13322" max="13322" width="21.140625" customWidth="1"/>
    <col min="13569" max="13569" width="25.28515625" customWidth="1"/>
    <col min="13570" max="13570" width="23.28515625" customWidth="1"/>
    <col min="13571" max="13571" width="22.7109375" customWidth="1"/>
    <col min="13572" max="13572" width="27.140625" customWidth="1"/>
    <col min="13574" max="13574" width="13.28515625" customWidth="1"/>
    <col min="13577" max="13577" width="12.42578125" customWidth="1"/>
    <col min="13578" max="13578" width="21.140625" customWidth="1"/>
    <col min="13825" max="13825" width="25.28515625" customWidth="1"/>
    <col min="13826" max="13826" width="23.28515625" customWidth="1"/>
    <col min="13827" max="13827" width="22.7109375" customWidth="1"/>
    <col min="13828" max="13828" width="27.140625" customWidth="1"/>
    <col min="13830" max="13830" width="13.28515625" customWidth="1"/>
    <col min="13833" max="13833" width="12.42578125" customWidth="1"/>
    <col min="13834" max="13834" width="21.140625" customWidth="1"/>
    <col min="14081" max="14081" width="25.28515625" customWidth="1"/>
    <col min="14082" max="14082" width="23.28515625" customWidth="1"/>
    <col min="14083" max="14083" width="22.7109375" customWidth="1"/>
    <col min="14084" max="14084" width="27.140625" customWidth="1"/>
    <col min="14086" max="14086" width="13.28515625" customWidth="1"/>
    <col min="14089" max="14089" width="12.42578125" customWidth="1"/>
    <col min="14090" max="14090" width="21.140625" customWidth="1"/>
    <col min="14337" max="14337" width="25.28515625" customWidth="1"/>
    <col min="14338" max="14338" width="23.28515625" customWidth="1"/>
    <col min="14339" max="14339" width="22.7109375" customWidth="1"/>
    <col min="14340" max="14340" width="27.140625" customWidth="1"/>
    <col min="14342" max="14342" width="13.28515625" customWidth="1"/>
    <col min="14345" max="14345" width="12.42578125" customWidth="1"/>
    <col min="14346" max="14346" width="21.140625" customWidth="1"/>
    <col min="14593" max="14593" width="25.28515625" customWidth="1"/>
    <col min="14594" max="14594" width="23.28515625" customWidth="1"/>
    <col min="14595" max="14595" width="22.7109375" customWidth="1"/>
    <col min="14596" max="14596" width="27.140625" customWidth="1"/>
    <col min="14598" max="14598" width="13.28515625" customWidth="1"/>
    <col min="14601" max="14601" width="12.42578125" customWidth="1"/>
    <col min="14602" max="14602" width="21.140625" customWidth="1"/>
    <col min="14849" max="14849" width="25.28515625" customWidth="1"/>
    <col min="14850" max="14850" width="23.28515625" customWidth="1"/>
    <col min="14851" max="14851" width="22.7109375" customWidth="1"/>
    <col min="14852" max="14852" width="27.140625" customWidth="1"/>
    <col min="14854" max="14854" width="13.28515625" customWidth="1"/>
    <col min="14857" max="14857" width="12.42578125" customWidth="1"/>
    <col min="14858" max="14858" width="21.140625" customWidth="1"/>
    <col min="15105" max="15105" width="25.28515625" customWidth="1"/>
    <col min="15106" max="15106" width="23.28515625" customWidth="1"/>
    <col min="15107" max="15107" width="22.7109375" customWidth="1"/>
    <col min="15108" max="15108" width="27.140625" customWidth="1"/>
    <col min="15110" max="15110" width="13.28515625" customWidth="1"/>
    <col min="15113" max="15113" width="12.42578125" customWidth="1"/>
    <col min="15114" max="15114" width="21.140625" customWidth="1"/>
    <col min="15361" max="15361" width="25.28515625" customWidth="1"/>
    <col min="15362" max="15362" width="23.28515625" customWidth="1"/>
    <col min="15363" max="15363" width="22.7109375" customWidth="1"/>
    <col min="15364" max="15364" width="27.140625" customWidth="1"/>
    <col min="15366" max="15366" width="13.28515625" customWidth="1"/>
    <col min="15369" max="15369" width="12.42578125" customWidth="1"/>
    <col min="15370" max="15370" width="21.140625" customWidth="1"/>
    <col min="15617" max="15617" width="25.28515625" customWidth="1"/>
    <col min="15618" max="15618" width="23.28515625" customWidth="1"/>
    <col min="15619" max="15619" width="22.7109375" customWidth="1"/>
    <col min="15620" max="15620" width="27.140625" customWidth="1"/>
    <col min="15622" max="15622" width="13.28515625" customWidth="1"/>
    <col min="15625" max="15625" width="12.42578125" customWidth="1"/>
    <col min="15626" max="15626" width="21.140625" customWidth="1"/>
    <col min="15873" max="15873" width="25.28515625" customWidth="1"/>
    <col min="15874" max="15874" width="23.28515625" customWidth="1"/>
    <col min="15875" max="15875" width="22.7109375" customWidth="1"/>
    <col min="15876" max="15876" width="27.140625" customWidth="1"/>
    <col min="15878" max="15878" width="13.28515625" customWidth="1"/>
    <col min="15881" max="15881" width="12.42578125" customWidth="1"/>
    <col min="15882" max="15882" width="21.140625" customWidth="1"/>
    <col min="16129" max="16129" width="25.28515625" customWidth="1"/>
    <col min="16130" max="16130" width="23.28515625" customWidth="1"/>
    <col min="16131" max="16131" width="22.7109375" customWidth="1"/>
    <col min="16132" max="16132" width="27.140625" customWidth="1"/>
    <col min="16134" max="16134" width="13.28515625" customWidth="1"/>
    <col min="16137" max="16137" width="12.42578125" customWidth="1"/>
    <col min="16138" max="16138" width="21.140625" customWidth="1"/>
  </cols>
  <sheetData>
    <row r="1" spans="1:15" x14ac:dyDescent="0.25">
      <c r="A1" s="12" t="s">
        <v>33</v>
      </c>
      <c r="B1" s="12" t="s">
        <v>34</v>
      </c>
      <c r="C1" s="12" t="s">
        <v>35</v>
      </c>
      <c r="D1" s="12" t="s">
        <v>36</v>
      </c>
      <c r="E1" s="12" t="s">
        <v>37</v>
      </c>
      <c r="F1" s="12" t="s">
        <v>38</v>
      </c>
      <c r="G1" s="12"/>
      <c r="H1" s="12" t="s">
        <v>39</v>
      </c>
      <c r="I1" s="12" t="s">
        <v>40</v>
      </c>
      <c r="J1" s="15" t="s">
        <v>41</v>
      </c>
      <c r="K1" s="12" t="s">
        <v>42</v>
      </c>
      <c r="L1" s="12" t="s">
        <v>43</v>
      </c>
      <c r="M1" s="12" t="s">
        <v>43</v>
      </c>
      <c r="N1" s="12" t="s">
        <v>43</v>
      </c>
      <c r="O1" s="12" t="s">
        <v>44</v>
      </c>
    </row>
    <row r="2" spans="1:15" s="12" customFormat="1" x14ac:dyDescent="0.25">
      <c r="A2" t="s">
        <v>45</v>
      </c>
      <c r="B2" t="s">
        <v>46</v>
      </c>
      <c r="C2" t="s">
        <v>319</v>
      </c>
      <c r="D2" t="s">
        <v>320</v>
      </c>
      <c r="E2"/>
      <c r="F2" t="s">
        <v>47</v>
      </c>
      <c r="G2" t="s">
        <v>48</v>
      </c>
      <c r="H2">
        <v>77041</v>
      </c>
      <c r="I2" t="s">
        <v>49</v>
      </c>
      <c r="J2" s="6" t="s">
        <v>50</v>
      </c>
      <c r="K2"/>
      <c r="L2"/>
      <c r="M2"/>
      <c r="N2"/>
      <c r="O2">
        <v>2</v>
      </c>
    </row>
    <row r="3" spans="1:15" x14ac:dyDescent="0.25">
      <c r="A3" t="s">
        <v>303</v>
      </c>
      <c r="B3" t="s">
        <v>303</v>
      </c>
      <c r="C3" t="s">
        <v>304</v>
      </c>
      <c r="D3" t="s">
        <v>305</v>
      </c>
      <c r="F3" t="s">
        <v>167</v>
      </c>
      <c r="G3" t="s">
        <v>48</v>
      </c>
      <c r="H3">
        <v>77043</v>
      </c>
      <c r="I3" t="s">
        <v>49</v>
      </c>
      <c r="J3" s="6" t="s">
        <v>306</v>
      </c>
    </row>
    <row r="4" spans="1:15" x14ac:dyDescent="0.25">
      <c r="A4" t="s">
        <v>333</v>
      </c>
      <c r="B4" t="s">
        <v>333</v>
      </c>
      <c r="C4" t="s">
        <v>334</v>
      </c>
      <c r="D4" t="s">
        <v>335</v>
      </c>
      <c r="F4" t="s">
        <v>79</v>
      </c>
      <c r="G4" t="s">
        <v>162</v>
      </c>
      <c r="H4">
        <v>77484</v>
      </c>
      <c r="I4" t="s">
        <v>49</v>
      </c>
      <c r="J4" s="6" t="s">
        <v>336</v>
      </c>
    </row>
    <row r="5" spans="1:15" x14ac:dyDescent="0.25">
      <c r="A5" t="s">
        <v>188</v>
      </c>
      <c r="B5" t="s">
        <v>188</v>
      </c>
      <c r="C5" t="s">
        <v>189</v>
      </c>
      <c r="D5" t="s">
        <v>194</v>
      </c>
      <c r="F5" t="s">
        <v>190</v>
      </c>
      <c r="H5" t="s">
        <v>191</v>
      </c>
      <c r="I5" t="s">
        <v>193</v>
      </c>
      <c r="J5" s="6" t="s">
        <v>192</v>
      </c>
    </row>
    <row r="6" spans="1:15" x14ac:dyDescent="0.25">
      <c r="A6" t="s">
        <v>51</v>
      </c>
      <c r="B6" t="s">
        <v>52</v>
      </c>
      <c r="C6" t="s">
        <v>53</v>
      </c>
      <c r="D6" t="s">
        <v>54</v>
      </c>
      <c r="F6" t="s">
        <v>55</v>
      </c>
      <c r="G6" t="s">
        <v>48</v>
      </c>
      <c r="H6">
        <v>77086</v>
      </c>
      <c r="I6" t="s">
        <v>49</v>
      </c>
      <c r="J6" s="6" t="s">
        <v>56</v>
      </c>
      <c r="K6" t="s">
        <v>57</v>
      </c>
      <c r="O6">
        <v>3</v>
      </c>
    </row>
    <row r="7" spans="1:15" x14ac:dyDescent="0.25">
      <c r="A7" t="s">
        <v>327</v>
      </c>
      <c r="B7" t="s">
        <v>328</v>
      </c>
      <c r="C7" t="s">
        <v>329</v>
      </c>
      <c r="D7" t="s">
        <v>330</v>
      </c>
      <c r="F7" t="s">
        <v>331</v>
      </c>
      <c r="G7" t="s">
        <v>48</v>
      </c>
      <c r="I7" t="s">
        <v>49</v>
      </c>
      <c r="J7" s="6" t="s">
        <v>332</v>
      </c>
    </row>
    <row r="8" spans="1:15" x14ac:dyDescent="0.25">
      <c r="A8" t="s">
        <v>278</v>
      </c>
      <c r="B8" t="s">
        <v>279</v>
      </c>
      <c r="C8" t="s">
        <v>281</v>
      </c>
      <c r="D8" t="s">
        <v>280</v>
      </c>
      <c r="F8" t="s">
        <v>100</v>
      </c>
      <c r="G8" t="s">
        <v>48</v>
      </c>
      <c r="H8">
        <v>77041</v>
      </c>
      <c r="I8" t="s">
        <v>49</v>
      </c>
      <c r="J8" s="6" t="s">
        <v>282</v>
      </c>
    </row>
    <row r="9" spans="1:15" x14ac:dyDescent="0.25">
      <c r="A9" t="s">
        <v>436</v>
      </c>
      <c r="B9" t="s">
        <v>436</v>
      </c>
      <c r="C9" t="s">
        <v>437</v>
      </c>
      <c r="D9" s="20" t="s">
        <v>439</v>
      </c>
      <c r="F9" t="s">
        <v>438</v>
      </c>
      <c r="G9" t="s">
        <v>162</v>
      </c>
      <c r="H9">
        <v>78333</v>
      </c>
      <c r="I9" t="s">
        <v>49</v>
      </c>
      <c r="J9" s="6" t="s">
        <v>440</v>
      </c>
    </row>
    <row r="10" spans="1:15" x14ac:dyDescent="0.25">
      <c r="A10" t="s">
        <v>207</v>
      </c>
      <c r="B10" t="s">
        <v>207</v>
      </c>
      <c r="C10" t="s">
        <v>182</v>
      </c>
      <c r="D10" t="s">
        <v>208</v>
      </c>
      <c r="F10" t="s">
        <v>61</v>
      </c>
      <c r="G10" t="s">
        <v>162</v>
      </c>
      <c r="H10">
        <v>77536</v>
      </c>
      <c r="I10" t="s">
        <v>49</v>
      </c>
    </row>
    <row r="11" spans="1:15" x14ac:dyDescent="0.25">
      <c r="A11" t="s">
        <v>221</v>
      </c>
      <c r="B11" t="s">
        <v>221</v>
      </c>
      <c r="C11" t="s">
        <v>222</v>
      </c>
      <c r="D11" t="s">
        <v>223</v>
      </c>
      <c r="F11" t="s">
        <v>100</v>
      </c>
      <c r="G11" t="s">
        <v>48</v>
      </c>
      <c r="H11">
        <v>77041</v>
      </c>
      <c r="I11" t="s">
        <v>49</v>
      </c>
      <c r="J11" s="6" t="s">
        <v>224</v>
      </c>
    </row>
    <row r="12" spans="1:15" x14ac:dyDescent="0.25">
      <c r="A12" t="s">
        <v>183</v>
      </c>
      <c r="B12" t="s">
        <v>184</v>
      </c>
      <c r="C12" t="s">
        <v>185</v>
      </c>
      <c r="D12" t="s">
        <v>186</v>
      </c>
      <c r="F12" t="s">
        <v>100</v>
      </c>
      <c r="G12" t="s">
        <v>162</v>
      </c>
      <c r="H12">
        <v>77041</v>
      </c>
      <c r="I12" t="s">
        <v>49</v>
      </c>
      <c r="J12" s="6" t="s">
        <v>187</v>
      </c>
    </row>
    <row r="13" spans="1:15" x14ac:dyDescent="0.25">
      <c r="A13" t="s">
        <v>456</v>
      </c>
      <c r="B13" t="s">
        <v>456</v>
      </c>
      <c r="C13" t="s">
        <v>457</v>
      </c>
      <c r="D13" t="s">
        <v>458</v>
      </c>
      <c r="F13" t="s">
        <v>459</v>
      </c>
      <c r="G13" t="s">
        <v>48</v>
      </c>
      <c r="H13">
        <v>77084</v>
      </c>
      <c r="I13" t="s">
        <v>49</v>
      </c>
      <c r="J13" s="6" t="s">
        <v>460</v>
      </c>
    </row>
    <row r="14" spans="1:15" x14ac:dyDescent="0.25">
      <c r="A14" t="s">
        <v>391</v>
      </c>
      <c r="B14" t="s">
        <v>391</v>
      </c>
      <c r="C14" t="s">
        <v>373</v>
      </c>
      <c r="D14" t="s">
        <v>241</v>
      </c>
      <c r="F14" t="s">
        <v>242</v>
      </c>
      <c r="G14" t="s">
        <v>48</v>
      </c>
      <c r="H14">
        <v>77066</v>
      </c>
      <c r="I14" t="s">
        <v>49</v>
      </c>
      <c r="J14" s="6" t="s">
        <v>243</v>
      </c>
      <c r="O14">
        <v>5</v>
      </c>
    </row>
    <row r="15" spans="1:15" x14ac:dyDescent="0.25">
      <c r="A15" t="s">
        <v>259</v>
      </c>
      <c r="B15" t="s">
        <v>255</v>
      </c>
      <c r="C15" t="s">
        <v>256</v>
      </c>
      <c r="D15" t="s">
        <v>257</v>
      </c>
      <c r="F15" t="s">
        <v>100</v>
      </c>
      <c r="G15" t="s">
        <v>48</v>
      </c>
      <c r="H15">
        <v>77041</v>
      </c>
      <c r="I15" t="s">
        <v>49</v>
      </c>
      <c r="J15" s="6" t="s">
        <v>258</v>
      </c>
    </row>
    <row r="16" spans="1:15" x14ac:dyDescent="0.25">
      <c r="A16" t="s">
        <v>64</v>
      </c>
      <c r="B16" t="s">
        <v>64</v>
      </c>
      <c r="C16" t="s">
        <v>65</v>
      </c>
      <c r="D16" t="s">
        <v>66</v>
      </c>
      <c r="F16" t="s">
        <v>67</v>
      </c>
      <c r="G16" t="s">
        <v>62</v>
      </c>
      <c r="H16">
        <v>77535</v>
      </c>
      <c r="I16" t="s">
        <v>49</v>
      </c>
      <c r="J16" s="6" t="s">
        <v>68</v>
      </c>
      <c r="O16">
        <v>6</v>
      </c>
    </row>
    <row r="17" spans="1:15" x14ac:dyDescent="0.25">
      <c r="A17" t="s">
        <v>69</v>
      </c>
      <c r="B17" t="s">
        <v>64</v>
      </c>
      <c r="C17" t="s">
        <v>70</v>
      </c>
      <c r="D17" t="s">
        <v>71</v>
      </c>
      <c r="F17" t="s">
        <v>72</v>
      </c>
      <c r="G17" t="s">
        <v>73</v>
      </c>
      <c r="H17">
        <v>92243</v>
      </c>
      <c r="I17" t="s">
        <v>49</v>
      </c>
      <c r="J17" s="6" t="s">
        <v>74</v>
      </c>
      <c r="O17">
        <v>7</v>
      </c>
    </row>
    <row r="18" spans="1:15" x14ac:dyDescent="0.25">
      <c r="A18" t="s">
        <v>225</v>
      </c>
      <c r="B18" t="s">
        <v>225</v>
      </c>
      <c r="C18" t="s">
        <v>226</v>
      </c>
      <c r="D18" t="s">
        <v>227</v>
      </c>
      <c r="F18" t="s">
        <v>228</v>
      </c>
      <c r="G18" t="s">
        <v>229</v>
      </c>
      <c r="H18">
        <v>77531</v>
      </c>
      <c r="I18" t="s">
        <v>49</v>
      </c>
      <c r="J18" s="6" t="s">
        <v>230</v>
      </c>
    </row>
    <row r="19" spans="1:15" x14ac:dyDescent="0.25">
      <c r="A19" t="s">
        <v>288</v>
      </c>
      <c r="B19" t="s">
        <v>288</v>
      </c>
      <c r="C19" t="s">
        <v>289</v>
      </c>
      <c r="D19" t="s">
        <v>290</v>
      </c>
      <c r="F19" t="s">
        <v>291</v>
      </c>
      <c r="G19" t="s">
        <v>162</v>
      </c>
      <c r="H19">
        <v>78401</v>
      </c>
      <c r="I19" t="s">
        <v>49</v>
      </c>
      <c r="J19" s="6" t="s">
        <v>138</v>
      </c>
    </row>
    <row r="20" spans="1:15" x14ac:dyDescent="0.25">
      <c r="A20" t="s">
        <v>351</v>
      </c>
      <c r="B20" t="s">
        <v>351</v>
      </c>
      <c r="C20" t="s">
        <v>108</v>
      </c>
      <c r="D20" t="s">
        <v>352</v>
      </c>
      <c r="F20" t="s">
        <v>353</v>
      </c>
      <c r="G20" t="s">
        <v>73</v>
      </c>
      <c r="H20">
        <v>92225</v>
      </c>
      <c r="I20" t="s">
        <v>49</v>
      </c>
      <c r="J20" s="6" t="s">
        <v>111</v>
      </c>
    </row>
    <row r="21" spans="1:15" x14ac:dyDescent="0.25">
      <c r="A21" t="s">
        <v>75</v>
      </c>
      <c r="B21" t="s">
        <v>76</v>
      </c>
      <c r="C21" t="s">
        <v>77</v>
      </c>
      <c r="D21" t="s">
        <v>78</v>
      </c>
      <c r="F21" t="s">
        <v>79</v>
      </c>
      <c r="G21" t="s">
        <v>62</v>
      </c>
      <c r="H21">
        <v>77484</v>
      </c>
      <c r="I21" t="s">
        <v>49</v>
      </c>
      <c r="J21" s="6" t="s">
        <v>80</v>
      </c>
      <c r="O21">
        <v>8</v>
      </c>
    </row>
    <row r="22" spans="1:15" x14ac:dyDescent="0.25">
      <c r="A22" t="s">
        <v>337</v>
      </c>
      <c r="B22" t="s">
        <v>337</v>
      </c>
      <c r="C22" t="s">
        <v>340</v>
      </c>
      <c r="D22" t="s">
        <v>338</v>
      </c>
      <c r="F22" t="s">
        <v>61</v>
      </c>
      <c r="G22" t="s">
        <v>48</v>
      </c>
      <c r="H22">
        <v>77536</v>
      </c>
      <c r="I22" t="s">
        <v>49</v>
      </c>
      <c r="J22" s="6" t="s">
        <v>339</v>
      </c>
    </row>
    <row r="23" spans="1:15" x14ac:dyDescent="0.25">
      <c r="A23" t="s">
        <v>81</v>
      </c>
      <c r="B23" t="s">
        <v>81</v>
      </c>
      <c r="C23" t="s">
        <v>82</v>
      </c>
      <c r="D23" t="s">
        <v>83</v>
      </c>
      <c r="F23" t="s">
        <v>84</v>
      </c>
      <c r="G23" t="s">
        <v>48</v>
      </c>
      <c r="H23">
        <v>77011</v>
      </c>
      <c r="I23" t="s">
        <v>49</v>
      </c>
      <c r="O23">
        <v>27</v>
      </c>
    </row>
    <row r="24" spans="1:15" x14ac:dyDescent="0.25">
      <c r="A24" t="s">
        <v>85</v>
      </c>
      <c r="B24" t="s">
        <v>85</v>
      </c>
      <c r="C24" t="s">
        <v>86</v>
      </c>
      <c r="D24" t="s">
        <v>87</v>
      </c>
      <c r="F24" t="s">
        <v>88</v>
      </c>
      <c r="G24" t="s">
        <v>62</v>
      </c>
      <c r="H24">
        <v>77051</v>
      </c>
      <c r="I24" t="s">
        <v>49</v>
      </c>
      <c r="J24" s="6" t="s">
        <v>89</v>
      </c>
      <c r="O24">
        <v>9</v>
      </c>
    </row>
    <row r="25" spans="1:15" x14ac:dyDescent="0.25">
      <c r="A25" t="s">
        <v>411</v>
      </c>
      <c r="B25" t="s">
        <v>411</v>
      </c>
      <c r="C25" t="s">
        <v>412</v>
      </c>
      <c r="D25" t="s">
        <v>413</v>
      </c>
      <c r="F25" t="s">
        <v>414</v>
      </c>
      <c r="G25" t="s">
        <v>299</v>
      </c>
      <c r="H25">
        <v>74158</v>
      </c>
      <c r="I25" t="s">
        <v>49</v>
      </c>
      <c r="J25" s="6" t="s">
        <v>415</v>
      </c>
    </row>
    <row r="26" spans="1:15" x14ac:dyDescent="0.25">
      <c r="A26" t="s">
        <v>419</v>
      </c>
      <c r="B26" t="s">
        <v>419</v>
      </c>
      <c r="C26" t="s">
        <v>420</v>
      </c>
      <c r="D26" t="s">
        <v>421</v>
      </c>
      <c r="F26" t="s">
        <v>155</v>
      </c>
      <c r="G26" t="s">
        <v>48</v>
      </c>
      <c r="H26">
        <v>77502</v>
      </c>
      <c r="I26" t="s">
        <v>49</v>
      </c>
      <c r="J26" s="6" t="s">
        <v>422</v>
      </c>
    </row>
    <row r="27" spans="1:15" x14ac:dyDescent="0.25">
      <c r="A27" t="s">
        <v>366</v>
      </c>
      <c r="B27" t="s">
        <v>366</v>
      </c>
    </row>
    <row r="28" spans="1:15" x14ac:dyDescent="0.25">
      <c r="A28" t="s">
        <v>465</v>
      </c>
      <c r="B28" t="s">
        <v>465</v>
      </c>
      <c r="C28" t="s">
        <v>369</v>
      </c>
      <c r="D28" t="s">
        <v>466</v>
      </c>
      <c r="F28" t="s">
        <v>467</v>
      </c>
      <c r="G28" t="s">
        <v>468</v>
      </c>
      <c r="H28">
        <v>53156</v>
      </c>
      <c r="I28" t="s">
        <v>49</v>
      </c>
      <c r="J28" s="6" t="s">
        <v>469</v>
      </c>
    </row>
    <row r="29" spans="1:15" x14ac:dyDescent="0.25">
      <c r="A29" t="s">
        <v>392</v>
      </c>
      <c r="B29" t="s">
        <v>392</v>
      </c>
      <c r="C29" t="s">
        <v>393</v>
      </c>
      <c r="D29" t="s">
        <v>394</v>
      </c>
      <c r="F29" t="s">
        <v>395</v>
      </c>
      <c r="G29" t="s">
        <v>162</v>
      </c>
      <c r="H29">
        <v>77507</v>
      </c>
      <c r="I29" t="s">
        <v>396</v>
      </c>
      <c r="J29" s="6" t="s">
        <v>397</v>
      </c>
    </row>
    <row r="30" spans="1:15" x14ac:dyDescent="0.25">
      <c r="A30" t="s">
        <v>90</v>
      </c>
      <c r="B30" t="s">
        <v>91</v>
      </c>
      <c r="C30" t="s">
        <v>92</v>
      </c>
      <c r="D30" t="s">
        <v>93</v>
      </c>
      <c r="F30" t="s">
        <v>94</v>
      </c>
      <c r="G30" t="s">
        <v>48</v>
      </c>
      <c r="H30">
        <v>77031</v>
      </c>
      <c r="I30" t="s">
        <v>49</v>
      </c>
      <c r="J30" s="6" t="s">
        <v>95</v>
      </c>
      <c r="O30">
        <v>10</v>
      </c>
    </row>
    <row r="31" spans="1:15" x14ac:dyDescent="0.25">
      <c r="A31" t="s">
        <v>232</v>
      </c>
      <c r="B31" t="s">
        <v>232</v>
      </c>
      <c r="C31" t="s">
        <v>233</v>
      </c>
      <c r="D31" t="s">
        <v>231</v>
      </c>
      <c r="F31" t="s">
        <v>234</v>
      </c>
      <c r="G31" t="s">
        <v>162</v>
      </c>
      <c r="H31">
        <v>77292</v>
      </c>
      <c r="I31" t="s">
        <v>49</v>
      </c>
      <c r="J31" s="6" t="s">
        <v>235</v>
      </c>
    </row>
    <row r="32" spans="1:15" x14ac:dyDescent="0.25">
      <c r="A32" t="s">
        <v>236</v>
      </c>
      <c r="B32" t="s">
        <v>236</v>
      </c>
      <c r="C32" t="s">
        <v>240</v>
      </c>
      <c r="D32" t="s">
        <v>237</v>
      </c>
      <c r="F32" t="s">
        <v>238</v>
      </c>
      <c r="G32" t="s">
        <v>162</v>
      </c>
      <c r="H32">
        <v>77423</v>
      </c>
      <c r="I32" t="s">
        <v>49</v>
      </c>
      <c r="J32" s="6" t="s">
        <v>239</v>
      </c>
    </row>
    <row r="33" spans="1:15" x14ac:dyDescent="0.25">
      <c r="A33" t="s">
        <v>96</v>
      </c>
      <c r="B33" t="s">
        <v>97</v>
      </c>
      <c r="C33" t="s">
        <v>98</v>
      </c>
      <c r="D33" t="s">
        <v>99</v>
      </c>
      <c r="F33" t="s">
        <v>100</v>
      </c>
      <c r="G33" t="s">
        <v>48</v>
      </c>
      <c r="H33">
        <v>77041</v>
      </c>
      <c r="I33" t="s">
        <v>49</v>
      </c>
      <c r="J33" s="6" t="s">
        <v>220</v>
      </c>
      <c r="O33">
        <v>11</v>
      </c>
    </row>
    <row r="34" spans="1:15" x14ac:dyDescent="0.25">
      <c r="A34" t="s">
        <v>217</v>
      </c>
      <c r="B34" t="s">
        <v>217</v>
      </c>
      <c r="C34" t="s">
        <v>214</v>
      </c>
      <c r="D34" t="s">
        <v>215</v>
      </c>
      <c r="F34" t="s">
        <v>128</v>
      </c>
      <c r="G34" t="s">
        <v>48</v>
      </c>
      <c r="H34">
        <v>77040</v>
      </c>
      <c r="I34" t="s">
        <v>49</v>
      </c>
      <c r="J34" s="6" t="s">
        <v>216</v>
      </c>
      <c r="O34">
        <v>27</v>
      </c>
    </row>
    <row r="35" spans="1:15" x14ac:dyDescent="0.25">
      <c r="A35" t="s">
        <v>101</v>
      </c>
      <c r="B35" t="s">
        <v>102</v>
      </c>
      <c r="C35" t="s">
        <v>103</v>
      </c>
      <c r="D35" t="s">
        <v>104</v>
      </c>
      <c r="F35" t="s">
        <v>105</v>
      </c>
      <c r="G35" t="s">
        <v>48</v>
      </c>
      <c r="H35">
        <v>77067</v>
      </c>
      <c r="I35" t="s">
        <v>49</v>
      </c>
      <c r="J35" s="6" t="s">
        <v>106</v>
      </c>
      <c r="O35">
        <v>12</v>
      </c>
    </row>
    <row r="36" spans="1:15" x14ac:dyDescent="0.25">
      <c r="A36" t="s">
        <v>431</v>
      </c>
      <c r="B36" t="s">
        <v>431</v>
      </c>
      <c r="C36" t="s">
        <v>432</v>
      </c>
      <c r="D36" t="s">
        <v>433</v>
      </c>
      <c r="F36" t="s">
        <v>434</v>
      </c>
      <c r="G36" t="s">
        <v>162</v>
      </c>
      <c r="H36">
        <v>77064</v>
      </c>
      <c r="I36" t="s">
        <v>49</v>
      </c>
      <c r="J36" s="6" t="s">
        <v>435</v>
      </c>
    </row>
    <row r="37" spans="1:15" x14ac:dyDescent="0.25">
      <c r="A37" t="s">
        <v>384</v>
      </c>
      <c r="B37" t="s">
        <v>384</v>
      </c>
      <c r="C37" t="s">
        <v>385</v>
      </c>
      <c r="D37" t="s">
        <v>386</v>
      </c>
      <c r="F37" t="s">
        <v>387</v>
      </c>
      <c r="G37" t="s">
        <v>48</v>
      </c>
      <c r="H37">
        <v>77532</v>
      </c>
      <c r="I37" t="s">
        <v>49</v>
      </c>
      <c r="J37" s="6" t="s">
        <v>388</v>
      </c>
    </row>
    <row r="38" spans="1:15" x14ac:dyDescent="0.25">
      <c r="A38" t="s">
        <v>107</v>
      </c>
      <c r="B38" t="s">
        <v>107</v>
      </c>
      <c r="C38" t="s">
        <v>108</v>
      </c>
      <c r="D38" t="s">
        <v>109</v>
      </c>
      <c r="F38" t="s">
        <v>110</v>
      </c>
      <c r="G38" t="s">
        <v>48</v>
      </c>
      <c r="H38">
        <v>77002</v>
      </c>
      <c r="I38" t="s">
        <v>49</v>
      </c>
      <c r="J38" s="6" t="s">
        <v>111</v>
      </c>
      <c r="O38">
        <v>13</v>
      </c>
    </row>
    <row r="39" spans="1:15" x14ac:dyDescent="0.25">
      <c r="A39" t="s">
        <v>112</v>
      </c>
      <c r="B39" t="s">
        <v>113</v>
      </c>
      <c r="C39" t="s">
        <v>442</v>
      </c>
      <c r="D39" t="s">
        <v>114</v>
      </c>
      <c r="F39" t="s">
        <v>100</v>
      </c>
      <c r="G39" t="s">
        <v>62</v>
      </c>
      <c r="H39">
        <v>77041</v>
      </c>
      <c r="I39" t="s">
        <v>49</v>
      </c>
      <c r="J39" s="6" t="s">
        <v>115</v>
      </c>
      <c r="O39">
        <v>14</v>
      </c>
    </row>
    <row r="40" spans="1:15" x14ac:dyDescent="0.25">
      <c r="A40" t="s">
        <v>116</v>
      </c>
      <c r="B40" t="s">
        <v>117</v>
      </c>
      <c r="C40" t="s">
        <v>118</v>
      </c>
      <c r="D40" t="s">
        <v>119</v>
      </c>
      <c r="F40" t="s">
        <v>100</v>
      </c>
      <c r="G40" t="s">
        <v>48</v>
      </c>
      <c r="H40">
        <v>77041</v>
      </c>
      <c r="I40" t="s">
        <v>49</v>
      </c>
      <c r="J40" s="6" t="s">
        <v>120</v>
      </c>
      <c r="O40">
        <v>15</v>
      </c>
    </row>
    <row r="41" spans="1:15" x14ac:dyDescent="0.25">
      <c r="A41" t="s">
        <v>121</v>
      </c>
      <c r="B41" t="s">
        <v>121</v>
      </c>
      <c r="C41" t="s">
        <v>122</v>
      </c>
      <c r="D41" t="s">
        <v>123</v>
      </c>
      <c r="F41" t="s">
        <v>124</v>
      </c>
      <c r="G41" t="s">
        <v>73</v>
      </c>
      <c r="H41">
        <v>92231</v>
      </c>
      <c r="I41" t="s">
        <v>49</v>
      </c>
      <c r="J41" s="6" t="s">
        <v>220</v>
      </c>
      <c r="O41">
        <v>16</v>
      </c>
    </row>
    <row r="42" spans="1:15" x14ac:dyDescent="0.25">
      <c r="A42" t="s">
        <v>270</v>
      </c>
      <c r="B42" t="s">
        <v>270</v>
      </c>
      <c r="C42" t="s">
        <v>271</v>
      </c>
      <c r="D42" t="s">
        <v>398</v>
      </c>
      <c r="F42" t="s">
        <v>272</v>
      </c>
      <c r="G42" t="s">
        <v>162</v>
      </c>
      <c r="H42">
        <v>77091</v>
      </c>
      <c r="I42" t="s">
        <v>49</v>
      </c>
      <c r="J42" s="6" t="s">
        <v>302</v>
      </c>
    </row>
    <row r="43" spans="1:15" x14ac:dyDescent="0.25">
      <c r="A43" t="s">
        <v>480</v>
      </c>
      <c r="B43" t="s">
        <v>113</v>
      </c>
      <c r="C43" t="s">
        <v>442</v>
      </c>
      <c r="D43" t="s">
        <v>114</v>
      </c>
      <c r="F43" t="s">
        <v>100</v>
      </c>
      <c r="G43" t="s">
        <v>62</v>
      </c>
      <c r="H43">
        <v>77041</v>
      </c>
      <c r="I43" t="s">
        <v>49</v>
      </c>
      <c r="J43" s="6" t="s">
        <v>115</v>
      </c>
      <c r="O43">
        <v>14</v>
      </c>
    </row>
    <row r="44" spans="1:15" x14ac:dyDescent="0.25">
      <c r="A44" t="s">
        <v>423</v>
      </c>
      <c r="B44" s="63" t="s">
        <v>423</v>
      </c>
      <c r="C44" t="s">
        <v>424</v>
      </c>
      <c r="D44" t="s">
        <v>425</v>
      </c>
      <c r="F44" t="s">
        <v>100</v>
      </c>
      <c r="G44" t="s">
        <v>48</v>
      </c>
      <c r="H44">
        <v>77041</v>
      </c>
      <c r="J44" s="6" t="s">
        <v>220</v>
      </c>
    </row>
    <row r="45" spans="1:15" x14ac:dyDescent="0.25">
      <c r="A45" t="s">
        <v>178</v>
      </c>
      <c r="B45" t="s">
        <v>178</v>
      </c>
      <c r="C45" t="s">
        <v>182</v>
      </c>
      <c r="D45" t="s">
        <v>179</v>
      </c>
      <c r="F45" t="s">
        <v>180</v>
      </c>
      <c r="G45" t="s">
        <v>48</v>
      </c>
      <c r="H45">
        <v>77095</v>
      </c>
      <c r="I45" t="s">
        <v>49</v>
      </c>
      <c r="J45" s="6" t="s">
        <v>181</v>
      </c>
      <c r="O45">
        <v>27</v>
      </c>
    </row>
    <row r="46" spans="1:15" x14ac:dyDescent="0.25">
      <c r="A46" s="13" t="s">
        <v>125</v>
      </c>
      <c r="B46" s="13" t="s">
        <v>125</v>
      </c>
      <c r="C46" s="13" t="s">
        <v>126</v>
      </c>
      <c r="D46" s="13" t="s">
        <v>127</v>
      </c>
      <c r="F46" s="13" t="s">
        <v>128</v>
      </c>
      <c r="G46" s="13" t="s">
        <v>48</v>
      </c>
      <c r="H46">
        <v>77040</v>
      </c>
      <c r="I46" t="s">
        <v>49</v>
      </c>
      <c r="J46" s="16" t="s">
        <v>129</v>
      </c>
      <c r="O46">
        <v>17</v>
      </c>
    </row>
    <row r="47" spans="1:15" x14ac:dyDescent="0.25">
      <c r="A47" t="s">
        <v>399</v>
      </c>
      <c r="B47" t="s">
        <v>399</v>
      </c>
      <c r="C47" t="s">
        <v>400</v>
      </c>
      <c r="D47" t="s">
        <v>401</v>
      </c>
      <c r="F47" t="s">
        <v>100</v>
      </c>
      <c r="G47" t="s">
        <v>162</v>
      </c>
      <c r="H47">
        <v>77041</v>
      </c>
      <c r="I47" t="s">
        <v>49</v>
      </c>
      <c r="J47" s="6" t="s">
        <v>402</v>
      </c>
    </row>
    <row r="48" spans="1:15" x14ac:dyDescent="0.25">
      <c r="A48" t="s">
        <v>130</v>
      </c>
      <c r="B48" t="s">
        <v>131</v>
      </c>
      <c r="C48" t="s">
        <v>132</v>
      </c>
      <c r="D48" t="s">
        <v>133</v>
      </c>
      <c r="F48" t="s">
        <v>100</v>
      </c>
      <c r="G48" t="s">
        <v>48</v>
      </c>
      <c r="H48">
        <v>77041</v>
      </c>
      <c r="I48" t="s">
        <v>49</v>
      </c>
      <c r="J48" s="6" t="s">
        <v>134</v>
      </c>
      <c r="K48" t="s">
        <v>135</v>
      </c>
      <c r="O48">
        <v>18</v>
      </c>
    </row>
    <row r="49" spans="1:15" x14ac:dyDescent="0.25">
      <c r="A49" t="s">
        <v>263</v>
      </c>
      <c r="B49" t="s">
        <v>263</v>
      </c>
      <c r="C49" t="s">
        <v>260</v>
      </c>
      <c r="D49" t="s">
        <v>261</v>
      </c>
      <c r="F49" t="s">
        <v>100</v>
      </c>
      <c r="G49" t="s">
        <v>162</v>
      </c>
      <c r="H49">
        <v>77041</v>
      </c>
      <c r="I49" t="s">
        <v>49</v>
      </c>
      <c r="J49" s="6" t="s">
        <v>262</v>
      </c>
    </row>
    <row r="50" spans="1:15" x14ac:dyDescent="0.25">
      <c r="A50" t="s">
        <v>341</v>
      </c>
      <c r="B50" t="s">
        <v>341</v>
      </c>
      <c r="C50" t="s">
        <v>182</v>
      </c>
      <c r="D50" t="s">
        <v>342</v>
      </c>
      <c r="F50" t="s">
        <v>343</v>
      </c>
      <c r="G50" t="s">
        <v>48</v>
      </c>
      <c r="H50">
        <v>78746</v>
      </c>
      <c r="I50" t="s">
        <v>49</v>
      </c>
      <c r="J50" s="6" t="s">
        <v>344</v>
      </c>
    </row>
    <row r="51" spans="1:15" x14ac:dyDescent="0.25">
      <c r="A51" t="s">
        <v>443</v>
      </c>
      <c r="B51" t="s">
        <v>443</v>
      </c>
      <c r="C51" t="s">
        <v>447</v>
      </c>
      <c r="D51" t="s">
        <v>444</v>
      </c>
      <c r="F51" t="s">
        <v>445</v>
      </c>
      <c r="G51" t="s">
        <v>48</v>
      </c>
      <c r="H51">
        <v>77076</v>
      </c>
      <c r="I51" t="s">
        <v>49</v>
      </c>
      <c r="J51" s="6" t="s">
        <v>446</v>
      </c>
    </row>
    <row r="52" spans="1:15" x14ac:dyDescent="0.25">
      <c r="A52" t="s">
        <v>307</v>
      </c>
      <c r="B52" t="s">
        <v>307</v>
      </c>
      <c r="C52" t="s">
        <v>311</v>
      </c>
      <c r="D52" t="s">
        <v>309</v>
      </c>
      <c r="F52" t="s">
        <v>310</v>
      </c>
      <c r="G52" t="s">
        <v>48</v>
      </c>
      <c r="H52">
        <v>77003</v>
      </c>
      <c r="I52" t="s">
        <v>49</v>
      </c>
      <c r="J52" s="6" t="s">
        <v>312</v>
      </c>
    </row>
    <row r="53" spans="1:15" x14ac:dyDescent="0.25">
      <c r="A53" t="s">
        <v>209</v>
      </c>
      <c r="B53" t="s">
        <v>209</v>
      </c>
      <c r="C53" t="s">
        <v>210</v>
      </c>
      <c r="D53" t="s">
        <v>211</v>
      </c>
      <c r="F53" t="s">
        <v>212</v>
      </c>
      <c r="G53" t="s">
        <v>48</v>
      </c>
      <c r="H53">
        <v>77032</v>
      </c>
      <c r="I53" t="s">
        <v>49</v>
      </c>
      <c r="J53" s="6" t="s">
        <v>213</v>
      </c>
    </row>
    <row r="54" spans="1:15" x14ac:dyDescent="0.25">
      <c r="A54" t="s">
        <v>273</v>
      </c>
      <c r="B54" t="s">
        <v>273</v>
      </c>
      <c r="C54" t="s">
        <v>274</v>
      </c>
      <c r="D54" t="s">
        <v>275</v>
      </c>
      <c r="F54" t="s">
        <v>276</v>
      </c>
      <c r="G54" t="s">
        <v>162</v>
      </c>
      <c r="H54">
        <v>77080</v>
      </c>
      <c r="I54" t="s">
        <v>49</v>
      </c>
      <c r="J54" s="6" t="s">
        <v>277</v>
      </c>
    </row>
    <row r="55" spans="1:15" x14ac:dyDescent="0.25">
      <c r="A55" t="s">
        <v>367</v>
      </c>
      <c r="B55" t="s">
        <v>368</v>
      </c>
      <c r="C55" t="s">
        <v>369</v>
      </c>
      <c r="D55" t="s">
        <v>370</v>
      </c>
      <c r="F55" t="s">
        <v>371</v>
      </c>
      <c r="G55" t="s">
        <v>48</v>
      </c>
      <c r="H55">
        <v>99347</v>
      </c>
      <c r="I55" t="s">
        <v>49</v>
      </c>
      <c r="J55" s="6" t="s">
        <v>372</v>
      </c>
    </row>
    <row r="56" spans="1:15" x14ac:dyDescent="0.25">
      <c r="A56" t="s">
        <v>490</v>
      </c>
      <c r="B56" t="s">
        <v>490</v>
      </c>
      <c r="C56" t="s">
        <v>491</v>
      </c>
      <c r="D56" t="s">
        <v>492</v>
      </c>
      <c r="F56" t="s">
        <v>493</v>
      </c>
      <c r="G56" t="s">
        <v>48</v>
      </c>
      <c r="H56">
        <v>77530</v>
      </c>
      <c r="I56" t="s">
        <v>49</v>
      </c>
      <c r="J56" s="6" t="s">
        <v>494</v>
      </c>
    </row>
    <row r="57" spans="1:15" x14ac:dyDescent="0.25">
      <c r="A57" t="s">
        <v>136</v>
      </c>
      <c r="B57" t="s">
        <v>136</v>
      </c>
      <c r="C57" t="s">
        <v>287</v>
      </c>
      <c r="D57" t="s">
        <v>137</v>
      </c>
      <c r="F57" t="s">
        <v>61</v>
      </c>
      <c r="G57" t="s">
        <v>48</v>
      </c>
      <c r="H57">
        <v>77536</v>
      </c>
      <c r="I57" t="s">
        <v>49</v>
      </c>
      <c r="J57" s="6" t="s">
        <v>138</v>
      </c>
      <c r="O57">
        <v>19</v>
      </c>
    </row>
    <row r="58" spans="1:15" x14ac:dyDescent="0.25">
      <c r="A58" t="s">
        <v>495</v>
      </c>
      <c r="B58" t="s">
        <v>495</v>
      </c>
      <c r="C58" t="s">
        <v>499</v>
      </c>
      <c r="D58" t="s">
        <v>496</v>
      </c>
      <c r="F58" t="s">
        <v>497</v>
      </c>
      <c r="G58" t="s">
        <v>48</v>
      </c>
      <c r="H58">
        <v>77043</v>
      </c>
      <c r="I58" t="s">
        <v>49</v>
      </c>
      <c r="J58" s="6" t="s">
        <v>498</v>
      </c>
    </row>
    <row r="59" spans="1:15" x14ac:dyDescent="0.25">
      <c r="A59" t="s">
        <v>345</v>
      </c>
      <c r="B59" t="s">
        <v>345</v>
      </c>
      <c r="C59" t="s">
        <v>346</v>
      </c>
      <c r="D59" t="s">
        <v>347</v>
      </c>
      <c r="F59" t="s">
        <v>348</v>
      </c>
      <c r="G59" t="s">
        <v>349</v>
      </c>
      <c r="H59">
        <v>19030</v>
      </c>
      <c r="I59" t="s">
        <v>49</v>
      </c>
      <c r="J59" s="6" t="s">
        <v>350</v>
      </c>
      <c r="O59">
        <v>19</v>
      </c>
    </row>
    <row r="60" spans="1:15" x14ac:dyDescent="0.25">
      <c r="A60" s="63" t="s">
        <v>452</v>
      </c>
      <c r="B60" s="63" t="s">
        <v>452</v>
      </c>
      <c r="C60" t="s">
        <v>297</v>
      </c>
      <c r="D60" t="s">
        <v>453</v>
      </c>
      <c r="F60" t="s">
        <v>454</v>
      </c>
      <c r="G60" t="s">
        <v>455</v>
      </c>
      <c r="H60">
        <v>58563</v>
      </c>
      <c r="I60" t="s">
        <v>49</v>
      </c>
      <c r="J60" s="6" t="s">
        <v>220</v>
      </c>
    </row>
    <row r="61" spans="1:15" x14ac:dyDescent="0.25">
      <c r="A61" t="s">
        <v>201</v>
      </c>
      <c r="B61" t="s">
        <v>201</v>
      </c>
      <c r="C61" t="s">
        <v>202</v>
      </c>
      <c r="D61" t="s">
        <v>203</v>
      </c>
      <c r="F61" t="s">
        <v>204</v>
      </c>
      <c r="G61" t="s">
        <v>48</v>
      </c>
      <c r="H61">
        <v>32826</v>
      </c>
      <c r="I61" t="s">
        <v>49</v>
      </c>
      <c r="J61" s="6" t="s">
        <v>205</v>
      </c>
    </row>
    <row r="62" spans="1:15" x14ac:dyDescent="0.25">
      <c r="A62" t="s">
        <v>296</v>
      </c>
      <c r="B62" t="s">
        <v>296</v>
      </c>
      <c r="C62" t="s">
        <v>297</v>
      </c>
      <c r="D62" t="s">
        <v>301</v>
      </c>
      <c r="F62" t="s">
        <v>298</v>
      </c>
      <c r="G62" t="s">
        <v>299</v>
      </c>
      <c r="H62">
        <v>73179</v>
      </c>
      <c r="I62" t="s">
        <v>49</v>
      </c>
      <c r="J62" s="6" t="s">
        <v>300</v>
      </c>
    </row>
    <row r="63" spans="1:15" x14ac:dyDescent="0.25">
      <c r="A63" t="s">
        <v>200</v>
      </c>
      <c r="B63" t="s">
        <v>195</v>
      </c>
      <c r="C63" t="s">
        <v>196</v>
      </c>
      <c r="D63" t="s">
        <v>197</v>
      </c>
      <c r="F63" t="s">
        <v>198</v>
      </c>
      <c r="G63" t="s">
        <v>199</v>
      </c>
      <c r="H63">
        <v>50002</v>
      </c>
      <c r="I63" t="s">
        <v>49</v>
      </c>
      <c r="J63" s="6" t="s">
        <v>220</v>
      </c>
    </row>
    <row r="64" spans="1:15" x14ac:dyDescent="0.25">
      <c r="A64" t="s">
        <v>172</v>
      </c>
      <c r="B64" t="s">
        <v>172</v>
      </c>
      <c r="C64" t="s">
        <v>176</v>
      </c>
      <c r="D64" t="s">
        <v>173</v>
      </c>
      <c r="F64" t="s">
        <v>174</v>
      </c>
      <c r="G64" t="s">
        <v>48</v>
      </c>
      <c r="H64">
        <v>67219</v>
      </c>
      <c r="I64" t="s">
        <v>49</v>
      </c>
      <c r="J64" s="6" t="s">
        <v>175</v>
      </c>
    </row>
    <row r="65" spans="1:15" x14ac:dyDescent="0.25">
      <c r="A65" t="s">
        <v>314</v>
      </c>
      <c r="B65" t="s">
        <v>314</v>
      </c>
      <c r="C65" t="s">
        <v>315</v>
      </c>
      <c r="D65" t="s">
        <v>316</v>
      </c>
      <c r="F65" t="s">
        <v>317</v>
      </c>
      <c r="G65" t="s">
        <v>162</v>
      </c>
      <c r="H65">
        <v>77041</v>
      </c>
      <c r="I65" t="s">
        <v>49</v>
      </c>
      <c r="J65" s="6" t="s">
        <v>318</v>
      </c>
    </row>
    <row r="66" spans="1:15" x14ac:dyDescent="0.25">
      <c r="A66" t="s">
        <v>139</v>
      </c>
      <c r="B66" t="s">
        <v>140</v>
      </c>
      <c r="C66" t="s">
        <v>141</v>
      </c>
      <c r="D66" t="s">
        <v>142</v>
      </c>
      <c r="F66" t="s">
        <v>100</v>
      </c>
      <c r="G66" t="s">
        <v>48</v>
      </c>
      <c r="H66">
        <v>77041</v>
      </c>
      <c r="I66" t="s">
        <v>49</v>
      </c>
      <c r="J66" s="6" t="s">
        <v>143</v>
      </c>
      <c r="O66">
        <v>20</v>
      </c>
    </row>
    <row r="67" spans="1:15" x14ac:dyDescent="0.25">
      <c r="A67" t="s">
        <v>354</v>
      </c>
      <c r="B67" t="s">
        <v>354</v>
      </c>
      <c r="C67" t="s">
        <v>355</v>
      </c>
      <c r="D67" t="s">
        <v>356</v>
      </c>
      <c r="F67" t="s">
        <v>357</v>
      </c>
      <c r="G67" t="s">
        <v>48</v>
      </c>
      <c r="H67">
        <v>77571</v>
      </c>
      <c r="I67" t="s">
        <v>49</v>
      </c>
      <c r="J67" s="6" t="s">
        <v>358</v>
      </c>
    </row>
    <row r="68" spans="1:15" x14ac:dyDescent="0.25">
      <c r="A68" t="s">
        <v>144</v>
      </c>
      <c r="B68" t="s">
        <v>145</v>
      </c>
      <c r="C68" t="s">
        <v>365</v>
      </c>
      <c r="D68" t="s">
        <v>364</v>
      </c>
      <c r="F68" t="s">
        <v>100</v>
      </c>
      <c r="G68" t="s">
        <v>48</v>
      </c>
      <c r="H68">
        <v>77041</v>
      </c>
      <c r="I68" t="s">
        <v>49</v>
      </c>
      <c r="J68" s="6" t="s">
        <v>146</v>
      </c>
      <c r="O68">
        <v>21</v>
      </c>
    </row>
    <row r="69" spans="1:15" x14ac:dyDescent="0.25">
      <c r="A69" t="s">
        <v>448</v>
      </c>
      <c r="B69" t="s">
        <v>448</v>
      </c>
      <c r="C69" t="s">
        <v>449</v>
      </c>
      <c r="D69" t="s">
        <v>450</v>
      </c>
      <c r="F69" t="s">
        <v>276</v>
      </c>
      <c r="G69" t="s">
        <v>162</v>
      </c>
      <c r="H69">
        <v>77080</v>
      </c>
      <c r="I69" t="s">
        <v>49</v>
      </c>
      <c r="J69" s="6" t="s">
        <v>451</v>
      </c>
    </row>
    <row r="70" spans="1:15" x14ac:dyDescent="0.25">
      <c r="A70" t="s">
        <v>441</v>
      </c>
      <c r="B70" t="s">
        <v>441</v>
      </c>
      <c r="C70" t="s">
        <v>292</v>
      </c>
      <c r="D70" t="s">
        <v>293</v>
      </c>
      <c r="F70" t="s">
        <v>294</v>
      </c>
      <c r="G70" t="s">
        <v>48</v>
      </c>
      <c r="H70">
        <v>77043</v>
      </c>
      <c r="I70" t="s">
        <v>49</v>
      </c>
      <c r="J70" s="6" t="s">
        <v>295</v>
      </c>
    </row>
    <row r="71" spans="1:15" x14ac:dyDescent="0.25">
      <c r="A71" t="s">
        <v>147</v>
      </c>
      <c r="B71" t="s">
        <v>147</v>
      </c>
      <c r="C71" s="13" t="s">
        <v>148</v>
      </c>
      <c r="D71" t="s">
        <v>149</v>
      </c>
      <c r="F71" t="s">
        <v>100</v>
      </c>
      <c r="G71" t="s">
        <v>48</v>
      </c>
      <c r="H71">
        <v>77041</v>
      </c>
      <c r="I71" t="s">
        <v>49</v>
      </c>
      <c r="J71" s="6" t="s">
        <v>150</v>
      </c>
      <c r="O71">
        <v>22</v>
      </c>
    </row>
    <row r="72" spans="1:15" x14ac:dyDescent="0.25">
      <c r="A72" t="s">
        <v>484</v>
      </c>
      <c r="B72" t="s">
        <v>484</v>
      </c>
      <c r="C72" t="s">
        <v>485</v>
      </c>
      <c r="D72" t="s">
        <v>486</v>
      </c>
      <c r="F72" t="s">
        <v>487</v>
      </c>
      <c r="G72" t="s">
        <v>48</v>
      </c>
      <c r="H72">
        <v>77590</v>
      </c>
      <c r="I72" t="s">
        <v>49</v>
      </c>
      <c r="J72" s="6" t="s">
        <v>488</v>
      </c>
    </row>
    <row r="73" spans="1:15" x14ac:dyDescent="0.25">
      <c r="A73" t="s">
        <v>151</v>
      </c>
      <c r="B73" t="s">
        <v>152</v>
      </c>
      <c r="C73" t="s">
        <v>153</v>
      </c>
      <c r="D73" t="s">
        <v>154</v>
      </c>
      <c r="F73" t="s">
        <v>155</v>
      </c>
      <c r="G73" t="s">
        <v>48</v>
      </c>
      <c r="H73">
        <v>77502</v>
      </c>
      <c r="I73" t="s">
        <v>49</v>
      </c>
      <c r="J73" s="6" t="s">
        <v>156</v>
      </c>
      <c r="O73">
        <v>23</v>
      </c>
    </row>
    <row r="74" spans="1:15" x14ac:dyDescent="0.25">
      <c r="A74" t="s">
        <v>375</v>
      </c>
      <c r="B74" t="s">
        <v>375</v>
      </c>
      <c r="C74" t="s">
        <v>376</v>
      </c>
      <c r="D74" t="s">
        <v>377</v>
      </c>
      <c r="F74" t="s">
        <v>61</v>
      </c>
      <c r="G74" t="s">
        <v>48</v>
      </c>
      <c r="H74">
        <v>77536</v>
      </c>
      <c r="I74" t="s">
        <v>49</v>
      </c>
      <c r="J74" s="6" t="s">
        <v>378</v>
      </c>
    </row>
    <row r="75" spans="1:15" x14ac:dyDescent="0.25">
      <c r="A75" t="s">
        <v>470</v>
      </c>
      <c r="B75" t="s">
        <v>470</v>
      </c>
      <c r="C75" t="s">
        <v>473</v>
      </c>
      <c r="D75" t="s">
        <v>472</v>
      </c>
      <c r="F75" t="s">
        <v>61</v>
      </c>
      <c r="G75" t="s">
        <v>48</v>
      </c>
      <c r="H75">
        <v>77536</v>
      </c>
      <c r="I75" t="s">
        <v>49</v>
      </c>
      <c r="J75" s="6" t="s">
        <v>471</v>
      </c>
    </row>
    <row r="76" spans="1:15" x14ac:dyDescent="0.25">
      <c r="A76" t="s">
        <v>461</v>
      </c>
      <c r="B76" t="s">
        <v>58</v>
      </c>
      <c r="C76" s="13" t="s">
        <v>59</v>
      </c>
      <c r="D76" t="s">
        <v>60</v>
      </c>
      <c r="F76" t="s">
        <v>61</v>
      </c>
      <c r="G76" t="s">
        <v>48</v>
      </c>
      <c r="H76">
        <v>77536</v>
      </c>
      <c r="I76" t="s">
        <v>49</v>
      </c>
      <c r="J76" s="6" t="s">
        <v>63</v>
      </c>
      <c r="O76">
        <v>4</v>
      </c>
    </row>
    <row r="77" spans="1:15" x14ac:dyDescent="0.25">
      <c r="A77" t="s">
        <v>157</v>
      </c>
      <c r="B77" t="s">
        <v>158</v>
      </c>
      <c r="C77" s="13" t="s">
        <v>159</v>
      </c>
      <c r="D77" t="s">
        <v>160</v>
      </c>
      <c r="F77" t="s">
        <v>161</v>
      </c>
      <c r="G77" t="s">
        <v>48</v>
      </c>
      <c r="H77">
        <v>77477</v>
      </c>
      <c r="I77" t="s">
        <v>49</v>
      </c>
      <c r="J77" s="6" t="s">
        <v>163</v>
      </c>
      <c r="O77">
        <v>24</v>
      </c>
    </row>
    <row r="78" spans="1:15" x14ac:dyDescent="0.25">
      <c r="A78" t="s">
        <v>428</v>
      </c>
      <c r="B78" t="s">
        <v>428</v>
      </c>
      <c r="C78" t="s">
        <v>429</v>
      </c>
      <c r="D78" t="s">
        <v>426</v>
      </c>
      <c r="F78" t="s">
        <v>427</v>
      </c>
      <c r="G78" t="s">
        <v>48</v>
      </c>
      <c r="H78">
        <v>77092</v>
      </c>
      <c r="I78" t="s">
        <v>49</v>
      </c>
      <c r="J78" s="6">
        <v>7134603700</v>
      </c>
    </row>
    <row r="79" spans="1:15" x14ac:dyDescent="0.25">
      <c r="A79" t="s">
        <v>164</v>
      </c>
      <c r="B79" t="s">
        <v>165</v>
      </c>
      <c r="C79" t="s">
        <v>166</v>
      </c>
      <c r="D79" s="20" t="s">
        <v>265</v>
      </c>
      <c r="F79" t="s">
        <v>100</v>
      </c>
      <c r="G79" t="s">
        <v>162</v>
      </c>
      <c r="H79">
        <v>77041</v>
      </c>
      <c r="I79" t="s">
        <v>49</v>
      </c>
      <c r="J79" s="6" t="s">
        <v>266</v>
      </c>
      <c r="O79">
        <v>25</v>
      </c>
    </row>
    <row r="80" spans="1:15" x14ac:dyDescent="0.25">
      <c r="A80" t="s">
        <v>165</v>
      </c>
      <c r="B80" t="s">
        <v>264</v>
      </c>
      <c r="C80" t="s">
        <v>308</v>
      </c>
      <c r="D80" s="20" t="s">
        <v>265</v>
      </c>
      <c r="F80" t="s">
        <v>100</v>
      </c>
      <c r="G80" t="s">
        <v>162</v>
      </c>
      <c r="H80">
        <v>77041</v>
      </c>
      <c r="I80" t="s">
        <v>49</v>
      </c>
      <c r="J80" s="6" t="s">
        <v>266</v>
      </c>
      <c r="O80">
        <v>25</v>
      </c>
    </row>
    <row r="81" spans="1:15" x14ac:dyDescent="0.25">
      <c r="A81" t="s">
        <v>168</v>
      </c>
      <c r="B81" t="s">
        <v>169</v>
      </c>
      <c r="C81" t="s">
        <v>170</v>
      </c>
      <c r="D81" t="s">
        <v>171</v>
      </c>
      <c r="F81" t="s">
        <v>100</v>
      </c>
      <c r="G81" t="s">
        <v>48</v>
      </c>
      <c r="H81">
        <v>77041</v>
      </c>
      <c r="I81" t="s">
        <v>49</v>
      </c>
      <c r="J81" s="6" t="s">
        <v>410</v>
      </c>
      <c r="O81">
        <v>26</v>
      </c>
    </row>
    <row r="82" spans="1:15" x14ac:dyDescent="0.25">
      <c r="A82" t="s">
        <v>406</v>
      </c>
      <c r="B82" t="s">
        <v>406</v>
      </c>
      <c r="C82" t="s">
        <v>407</v>
      </c>
      <c r="D82" t="s">
        <v>408</v>
      </c>
      <c r="F82" t="s">
        <v>167</v>
      </c>
      <c r="G82" t="s">
        <v>48</v>
      </c>
      <c r="H82">
        <v>77043</v>
      </c>
      <c r="I82" t="s">
        <v>49</v>
      </c>
      <c r="J82" s="6" t="s">
        <v>409</v>
      </c>
    </row>
  </sheetData>
  <sortState xmlns:xlrd2="http://schemas.microsoft.com/office/spreadsheetml/2017/richdata2" ref="A1:O83">
    <sortCondition ref="A52:A83"/>
  </sortState>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03D7-6FF8-4A8B-B672-C37A660FBA3F}">
  <dimension ref="A1:P18"/>
  <sheetViews>
    <sheetView showGridLines="0" workbookViewId="0">
      <selection activeCell="E24" sqref="E24"/>
    </sheetView>
  </sheetViews>
  <sheetFormatPr defaultRowHeight="15" x14ac:dyDescent="0.25"/>
  <cols>
    <col min="1" max="1" width="15.28515625" style="6" bestFit="1" customWidth="1"/>
    <col min="2" max="2" width="10.7109375" bestFit="1" customWidth="1"/>
    <col min="3" max="3" width="14.5703125" bestFit="1" customWidth="1"/>
    <col min="4" max="4" width="15.85546875" style="6" customWidth="1"/>
    <col min="5" max="5" width="15.42578125" customWidth="1"/>
    <col min="6" max="6" width="22.7109375" style="6" bestFit="1" customWidth="1"/>
    <col min="7" max="7" width="17" style="6" customWidth="1"/>
    <col min="8" max="8" width="13.140625" style="6" customWidth="1"/>
    <col min="9" max="9" width="19.140625" customWidth="1"/>
    <col min="10" max="10" width="17.42578125" bestFit="1" customWidth="1"/>
    <col min="14" max="14" width="14.28515625" bestFit="1" customWidth="1"/>
    <col min="15" max="15" width="12.140625" bestFit="1" customWidth="1"/>
    <col min="16" max="16" width="17.85546875" bestFit="1" customWidth="1"/>
  </cols>
  <sheetData>
    <row r="1" spans="1:16" x14ac:dyDescent="0.25">
      <c r="A1" s="11" t="s">
        <v>13</v>
      </c>
      <c r="B1" s="10" t="s">
        <v>15</v>
      </c>
      <c r="C1" s="10" t="s">
        <v>12</v>
      </c>
      <c r="D1" s="11" t="s">
        <v>14</v>
      </c>
      <c r="E1" s="10" t="s">
        <v>16</v>
      </c>
      <c r="F1" s="11" t="s">
        <v>29</v>
      </c>
      <c r="G1" s="11" t="s">
        <v>403</v>
      </c>
      <c r="H1" s="11" t="s">
        <v>325</v>
      </c>
      <c r="I1" s="10" t="s">
        <v>324</v>
      </c>
      <c r="J1" s="36" t="s">
        <v>326</v>
      </c>
    </row>
    <row r="2" spans="1:16" x14ac:dyDescent="0.25">
      <c r="A2" s="32" t="s">
        <v>267</v>
      </c>
      <c r="B2" s="32" t="s">
        <v>360</v>
      </c>
      <c r="C2" s="32" t="s">
        <v>26</v>
      </c>
      <c r="D2" s="33">
        <v>562009</v>
      </c>
      <c r="E2" s="34">
        <v>47035</v>
      </c>
      <c r="F2" s="30">
        <v>1194717</v>
      </c>
      <c r="G2" s="30" t="s">
        <v>404</v>
      </c>
      <c r="H2" s="31">
        <f t="shared" ref="H2:H4" ca="1" si="0">TODAY()</f>
        <v>46216</v>
      </c>
      <c r="I2" s="29">
        <f t="shared" ref="I2:I4" ca="1" si="1">E2-H2</f>
        <v>819</v>
      </c>
      <c r="J2" t="s">
        <v>177</v>
      </c>
      <c r="N2" s="1" t="s">
        <v>244</v>
      </c>
      <c r="O2" s="1" t="s">
        <v>250</v>
      </c>
      <c r="P2" s="1" t="s">
        <v>252</v>
      </c>
    </row>
    <row r="3" spans="1:16" x14ac:dyDescent="0.25">
      <c r="A3" s="32" t="s">
        <v>268</v>
      </c>
      <c r="B3" s="32" t="s">
        <v>360</v>
      </c>
      <c r="C3" s="32" t="s">
        <v>26</v>
      </c>
      <c r="D3" s="32">
        <v>561154</v>
      </c>
      <c r="E3" s="34">
        <v>46317</v>
      </c>
      <c r="F3" s="30" t="s">
        <v>269</v>
      </c>
      <c r="G3" s="30" t="s">
        <v>404</v>
      </c>
      <c r="H3" s="31">
        <f t="shared" ca="1" si="0"/>
        <v>46216</v>
      </c>
      <c r="I3" s="29">
        <f t="shared" ca="1" si="1"/>
        <v>101</v>
      </c>
      <c r="J3" t="s">
        <v>177</v>
      </c>
      <c r="N3" t="s">
        <v>245</v>
      </c>
      <c r="O3" t="s">
        <v>251</v>
      </c>
      <c r="P3" t="s">
        <v>253</v>
      </c>
    </row>
    <row r="4" spans="1:16" x14ac:dyDescent="0.25">
      <c r="A4" s="32" t="s">
        <v>323</v>
      </c>
      <c r="B4" s="32" t="s">
        <v>25</v>
      </c>
      <c r="C4" s="32" t="s">
        <v>26</v>
      </c>
      <c r="D4" s="32" t="s">
        <v>321</v>
      </c>
      <c r="E4" s="34">
        <v>46554</v>
      </c>
      <c r="F4" s="32" t="s">
        <v>322</v>
      </c>
      <c r="G4" s="30" t="s">
        <v>404</v>
      </c>
      <c r="H4" s="31">
        <f t="shared" ca="1" si="0"/>
        <v>46216</v>
      </c>
      <c r="I4" s="29">
        <f t="shared" ca="1" si="1"/>
        <v>338</v>
      </c>
      <c r="J4" t="s">
        <v>177</v>
      </c>
      <c r="N4" t="s">
        <v>246</v>
      </c>
      <c r="O4" t="s">
        <v>206</v>
      </c>
      <c r="P4" t="s">
        <v>474</v>
      </c>
    </row>
    <row r="5" spans="1:16" x14ac:dyDescent="0.25">
      <c r="A5" s="32" t="s">
        <v>31</v>
      </c>
      <c r="B5" s="35" t="s">
        <v>30</v>
      </c>
      <c r="C5" s="32" t="s">
        <v>26</v>
      </c>
      <c r="D5" s="32">
        <v>34342</v>
      </c>
      <c r="E5" s="34">
        <v>46138</v>
      </c>
      <c r="F5" s="32" t="s">
        <v>32</v>
      </c>
      <c r="G5" s="32"/>
      <c r="H5" s="31">
        <f ca="1">TODAY()</f>
        <v>46216</v>
      </c>
      <c r="I5" s="29">
        <f ca="1">E5-H5</f>
        <v>-78</v>
      </c>
      <c r="N5" t="s">
        <v>247</v>
      </c>
      <c r="P5" t="s">
        <v>475</v>
      </c>
    </row>
    <row r="6" spans="1:16" x14ac:dyDescent="0.25">
      <c r="A6" s="32" t="s">
        <v>361</v>
      </c>
      <c r="B6" s="32" t="s">
        <v>218</v>
      </c>
      <c r="C6" s="32" t="s">
        <v>26</v>
      </c>
      <c r="D6" s="32" t="s">
        <v>362</v>
      </c>
      <c r="E6" s="34">
        <v>46227</v>
      </c>
      <c r="F6" s="32">
        <v>1141729</v>
      </c>
      <c r="G6" s="30" t="s">
        <v>405</v>
      </c>
      <c r="H6" s="31">
        <f ca="1">TODAY()</f>
        <v>46216</v>
      </c>
      <c r="I6" s="29">
        <f ca="1">E6-H6</f>
        <v>11</v>
      </c>
      <c r="J6" t="s">
        <v>219</v>
      </c>
      <c r="N6" t="s">
        <v>248</v>
      </c>
      <c r="P6" t="s">
        <v>479</v>
      </c>
    </row>
    <row r="7" spans="1:16" x14ac:dyDescent="0.25">
      <c r="A7" s="35" t="s">
        <v>379</v>
      </c>
      <c r="B7" s="35" t="s">
        <v>380</v>
      </c>
      <c r="C7" s="35" t="s">
        <v>381</v>
      </c>
      <c r="D7" s="32" t="s">
        <v>382</v>
      </c>
      <c r="E7" s="43">
        <v>46809</v>
      </c>
      <c r="F7" s="32" t="s">
        <v>383</v>
      </c>
      <c r="G7" s="30" t="s">
        <v>405</v>
      </c>
      <c r="H7" s="43">
        <f t="shared" ref="H7:H8" ca="1" si="2">TODAY()</f>
        <v>46216</v>
      </c>
      <c r="I7" s="44">
        <f ca="1">E7-H7</f>
        <v>593</v>
      </c>
      <c r="J7" s="35" t="s">
        <v>177</v>
      </c>
      <c r="N7" t="s">
        <v>249</v>
      </c>
      <c r="P7" t="s">
        <v>254</v>
      </c>
    </row>
    <row r="8" spans="1:16" x14ac:dyDescent="0.25">
      <c r="A8" s="3">
        <v>7230</v>
      </c>
      <c r="B8" s="3" t="s">
        <v>380</v>
      </c>
      <c r="C8" s="3" t="s">
        <v>389</v>
      </c>
      <c r="D8" s="3">
        <v>17818127</v>
      </c>
      <c r="E8" s="43">
        <v>46809</v>
      </c>
      <c r="F8" s="3" t="s">
        <v>390</v>
      </c>
      <c r="G8" s="30" t="s">
        <v>405</v>
      </c>
      <c r="H8" s="43">
        <f t="shared" ca="1" si="2"/>
        <v>46216</v>
      </c>
      <c r="I8" s="44">
        <f ca="1">E8-H8</f>
        <v>593</v>
      </c>
      <c r="J8" s="3" t="s">
        <v>177</v>
      </c>
      <c r="P8" t="s">
        <v>476</v>
      </c>
    </row>
    <row r="9" spans="1:16" x14ac:dyDescent="0.25">
      <c r="A9" s="32"/>
      <c r="B9" s="35"/>
      <c r="C9" s="35"/>
      <c r="D9" s="32"/>
      <c r="E9" s="34"/>
      <c r="F9" s="32"/>
      <c r="G9" s="32"/>
      <c r="H9" s="31"/>
      <c r="I9" s="44">
        <f t="shared" ref="I9:I11" si="3">E9-H9</f>
        <v>0</v>
      </c>
      <c r="P9" t="s">
        <v>477</v>
      </c>
    </row>
    <row r="10" spans="1:16" x14ac:dyDescent="0.25">
      <c r="A10" s="32" t="s">
        <v>416</v>
      </c>
      <c r="B10" s="32" t="s">
        <v>417</v>
      </c>
      <c r="C10" s="32" t="s">
        <v>416</v>
      </c>
      <c r="D10" s="62" t="s">
        <v>418</v>
      </c>
      <c r="E10" s="34">
        <v>45946</v>
      </c>
      <c r="F10" s="32">
        <v>154022</v>
      </c>
      <c r="G10" s="30" t="s">
        <v>405</v>
      </c>
      <c r="H10" s="43">
        <f t="shared" ref="H10:H11" ca="1" si="4">TODAY()</f>
        <v>46216</v>
      </c>
      <c r="I10" s="44">
        <f t="shared" ca="1" si="3"/>
        <v>-270</v>
      </c>
      <c r="P10" t="s">
        <v>478</v>
      </c>
    </row>
    <row r="11" spans="1:16" x14ac:dyDescent="0.25">
      <c r="A11" s="32" t="s">
        <v>462</v>
      </c>
      <c r="B11" s="32" t="s">
        <v>463</v>
      </c>
      <c r="C11" s="32" t="s">
        <v>462</v>
      </c>
      <c r="D11" s="32">
        <v>200141856</v>
      </c>
      <c r="E11" s="34">
        <v>46350</v>
      </c>
      <c r="F11" s="32">
        <v>35499</v>
      </c>
      <c r="G11" s="32" t="s">
        <v>464</v>
      </c>
      <c r="H11" s="43">
        <f t="shared" ca="1" si="4"/>
        <v>46216</v>
      </c>
      <c r="I11" s="44">
        <f t="shared" ca="1" si="3"/>
        <v>134</v>
      </c>
      <c r="J11" t="s">
        <v>125</v>
      </c>
    </row>
    <row r="12" spans="1:16" x14ac:dyDescent="0.25">
      <c r="A12" s="32"/>
      <c r="B12" s="32"/>
      <c r="C12" s="32"/>
      <c r="D12" s="32"/>
      <c r="E12" s="34"/>
      <c r="F12" s="32"/>
      <c r="G12" s="32"/>
      <c r="H12" s="31"/>
      <c r="I12" s="29"/>
    </row>
    <row r="13" spans="1:16" x14ac:dyDescent="0.25">
      <c r="A13" s="32"/>
      <c r="B13" s="32"/>
      <c r="C13" s="32"/>
      <c r="D13" s="32"/>
      <c r="E13" s="34"/>
      <c r="F13" s="32"/>
      <c r="G13" s="32"/>
      <c r="H13" s="31"/>
      <c r="I13" s="29"/>
      <c r="J13" s="6"/>
    </row>
    <row r="15" spans="1:16" x14ac:dyDescent="0.25">
      <c r="A15" s="32"/>
      <c r="B15" s="32"/>
      <c r="C15" s="32"/>
      <c r="D15" s="32"/>
      <c r="E15" s="34"/>
      <c r="F15" s="32"/>
      <c r="G15" s="32"/>
      <c r="H15" s="31"/>
      <c r="I15" s="29"/>
      <c r="J15" s="6"/>
    </row>
    <row r="16" spans="1:16" x14ac:dyDescent="0.25">
      <c r="A16" s="32"/>
      <c r="B16" s="32"/>
      <c r="C16" s="32"/>
      <c r="D16" s="32"/>
      <c r="E16" s="34"/>
      <c r="F16" s="32"/>
      <c r="G16" s="32"/>
      <c r="H16" s="31"/>
      <c r="I16" s="29"/>
      <c r="J16" s="6"/>
    </row>
    <row r="17" spans="1:9" x14ac:dyDescent="0.25">
      <c r="A17" s="32"/>
      <c r="B17" s="35"/>
      <c r="C17" s="35"/>
      <c r="D17" s="32"/>
      <c r="E17" s="34"/>
      <c r="F17" s="32"/>
      <c r="G17" s="32"/>
      <c r="H17" s="31"/>
      <c r="I17" s="29"/>
    </row>
    <row r="18" spans="1:9" x14ac:dyDescent="0.25">
      <c r="B18" s="6"/>
      <c r="C18" s="37"/>
      <c r="E18" s="40"/>
      <c r="H18" s="41"/>
      <c r="I18" s="38"/>
    </row>
  </sheetData>
  <conditionalFormatting sqref="I2:I13">
    <cfRule type="cellIs" dxfId="5" priority="2" operator="greaterThan">
      <formula>60</formula>
    </cfRule>
    <cfRule type="cellIs" dxfId="4" priority="4" operator="lessThan">
      <formula>0</formula>
    </cfRule>
    <cfRule type="cellIs" dxfId="3" priority="5" operator="between">
      <formula>1</formula>
      <formula>60</formula>
    </cfRule>
  </conditionalFormatting>
  <conditionalFormatting sqref="I7:I11">
    <cfRule type="dataBar" priority="1">
      <dataBar>
        <cfvo type="min"/>
        <cfvo type="max"/>
        <color rgb="FF63C384"/>
      </dataBar>
      <extLst>
        <ext xmlns:x14="http://schemas.microsoft.com/office/spreadsheetml/2009/9/main" uri="{B025F937-C7B1-47D3-B67F-A62EFF666E3E}">
          <x14:id>{99290C61-11ED-4AA6-A643-A10F11314A7E}</x14:id>
        </ext>
      </extLst>
    </cfRule>
    <cfRule type="dataBar" priority="3">
      <dataBar>
        <cfvo type="min"/>
        <cfvo type="max"/>
        <color rgb="FF63C384"/>
      </dataBar>
      <extLst>
        <ext xmlns:x14="http://schemas.microsoft.com/office/spreadsheetml/2009/9/main" uri="{B025F937-C7B1-47D3-B67F-A62EFF666E3E}">
          <x14:id>{1D984177-5CAE-4477-9DE2-7DBDA8FA49BB}</x14:id>
        </ext>
      </extLst>
    </cfRule>
  </conditionalFormatting>
  <conditionalFormatting sqref="I15:I18 I21:I22">
    <cfRule type="cellIs" dxfId="2" priority="18" operator="greaterThan">
      <formula>60</formula>
    </cfRule>
    <cfRule type="cellIs" dxfId="1" priority="20" operator="lessThan">
      <formula>0</formula>
    </cfRule>
    <cfRule type="cellIs" dxfId="0" priority="21" operator="between">
      <formula>1</formula>
      <formula>60</formula>
    </cfRule>
  </conditionalFormatting>
  <conditionalFormatting sqref="I21:I22 I15:I18 I2:I6 I9:I13">
    <cfRule type="dataBar" priority="22">
      <dataBar>
        <cfvo type="min"/>
        <cfvo type="max"/>
        <color rgb="FF63C384"/>
      </dataBar>
      <extLst>
        <ext xmlns:x14="http://schemas.microsoft.com/office/spreadsheetml/2009/9/main" uri="{B025F937-C7B1-47D3-B67F-A62EFF666E3E}">
          <x14:id>{12A98787-AEEA-4D41-933F-A6A2768006DB}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9290C61-11ED-4AA6-A643-A10F11314A7E}">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D984177-5CAE-4477-9DE2-7DBDA8FA49BB}">
            <x14:dataBar minLength="0" maxLength="100" border="1" negativeBarBorderColorSameAsPositive="0">
              <x14:cfvo type="autoMin"/>
              <x14:cfvo type="autoMax"/>
              <x14:borderColor rgb="FF63C384"/>
              <x14:negativeFillColor rgb="FFFF0000"/>
              <x14:negativeBorderColor rgb="FFFF0000"/>
              <x14:axisColor rgb="FF000000"/>
            </x14:dataBar>
          </x14:cfRule>
          <xm:sqref>I7:I11</xm:sqref>
        </x14:conditionalFormatting>
        <x14:conditionalFormatting xmlns:xm="http://schemas.microsoft.com/office/excel/2006/main">
          <x14:cfRule type="dataBar" id="{12A98787-AEEA-4D41-933F-A6A2768006DB}">
            <x14:dataBar minLength="0" maxLength="100" border="1" negativeBarBorderColorSameAsPositive="0">
              <x14:cfvo type="autoMin"/>
              <x14:cfvo type="autoMax"/>
              <x14:borderColor rgb="FF63C384"/>
              <x14:negativeFillColor rgb="FFFF0000"/>
              <x14:negativeBorderColor rgb="FFFF0000"/>
              <x14:axisColor rgb="FF000000"/>
            </x14:dataBar>
          </x14:cfRule>
          <xm:sqref>I21:I22 I15:I18 I2:I6 I9:I13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Cert</vt:lpstr>
      <vt:lpstr>DATA - CUSTOMER</vt:lpstr>
      <vt:lpstr>Data - Standards</vt:lpstr>
      <vt:lpstr>Cert!Print_Area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Shaw</dc:creator>
  <cp:lastModifiedBy>David Bain</cp:lastModifiedBy>
  <cp:lastPrinted>2026-07-10T18:42:29Z</cp:lastPrinted>
  <dcterms:created xsi:type="dcterms:W3CDTF">2018-08-25T18:14:48Z</dcterms:created>
  <dcterms:modified xsi:type="dcterms:W3CDTF">2026-07-13T15:24:20Z</dcterms:modified>
</cp:coreProperties>
</file>